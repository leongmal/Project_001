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\Downloads\Project_001\Excel\"/>
    </mc:Choice>
  </mc:AlternateContent>
  <xr:revisionPtr revIDLastSave="0" documentId="13_ncr:1_{739F47F2-1580-42AE-905D-F53A622D8BF1}" xr6:coauthVersionLast="47" xr6:coauthVersionMax="47" xr10:uidLastSave="{00000000-0000-0000-0000-000000000000}"/>
  <bookViews>
    <workbookView xWindow="8310" yWindow="1065" windowWidth="19470" windowHeight="11550" activeTab="1" xr2:uid="{99E8A827-3965-4E5F-B0B7-35524299E21B}"/>
  </bookViews>
  <sheets>
    <sheet name="Внешние" sheetId="7" r:id="rId1"/>
    <sheet name="Потребители КЗ" sheetId="6" r:id="rId2"/>
    <sheet name="Потребители КЗ (2)" sheetId="8" r:id="rId3"/>
  </sheets>
  <definedNames>
    <definedName name="_xlnm._FilterDatabase" localSheetId="0" hidden="1">Внешние!$A$4:$I$4</definedName>
    <definedName name="_xlnm._FilterDatabase" localSheetId="1" hidden="1">'Потребители КЗ'!$A$4:$G$243</definedName>
    <definedName name="_xlnm._FilterDatabase" localSheetId="2" hidden="1">'Потребители КЗ (2)'!$A$4:$G$229</definedName>
    <definedName name="_xlnm.Print_Area" localSheetId="1">'Потребители КЗ'!$A$1:$G$250</definedName>
    <definedName name="_xlnm.Print_Area" localSheetId="2">'Потребители КЗ (2)'!$A$1:$G$236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8" l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F46" i="7"/>
  <c r="F35" i="7"/>
  <c r="F34" i="7"/>
  <c r="A15" i="7"/>
  <c r="A16" i="7"/>
  <c r="A17" i="7"/>
  <c r="A18" i="7" s="1"/>
  <c r="A19" i="7" s="1"/>
  <c r="A20" i="7" s="1"/>
  <c r="A21" i="7"/>
  <c r="A22" i="7" s="1"/>
  <c r="A23" i="7" s="1"/>
  <c r="A24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13" i="7"/>
  <c r="A6" i="7"/>
  <c r="A7" i="7" s="1"/>
  <c r="A8" i="7" s="1"/>
  <c r="A9" i="7" s="1"/>
  <c r="A10" i="7" s="1"/>
  <c r="A11" i="7" s="1"/>
  <c r="A6" i="6"/>
  <c r="A7" i="6"/>
  <c r="A8" i="6" s="1"/>
  <c r="A9" i="6" s="1"/>
  <c r="A10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</calcChain>
</file>

<file path=xl/sharedStrings.xml><?xml version="1.0" encoding="utf-8"?>
<sst xmlns="http://schemas.openxmlformats.org/spreadsheetml/2006/main" count="1729" uniqueCount="588">
  <si>
    <t>№ п/п</t>
  </si>
  <si>
    <t>92100-255Э</t>
  </si>
  <si>
    <t>92100-227Э</t>
  </si>
  <si>
    <t>92100-339Э</t>
  </si>
  <si>
    <t>92100-253Э</t>
  </si>
  <si>
    <t>92100-139Э</t>
  </si>
  <si>
    <t>ООО "Иволга"</t>
  </si>
  <si>
    <t>92100-336Э</t>
  </si>
  <si>
    <t>92100-043Э</t>
  </si>
  <si>
    <t>ООО "КВИЛС"</t>
  </si>
  <si>
    <t>92100-397Э</t>
  </si>
  <si>
    <t>92100-147Э</t>
  </si>
  <si>
    <t>ООО "МЕТАЛЛУРГРЕМОНТМОНТАЖ"</t>
  </si>
  <si>
    <t>92100-050Э</t>
  </si>
  <si>
    <t>92100-268Э</t>
  </si>
  <si>
    <t>ООО "МОТОР-РАСТОЧКА"</t>
  </si>
  <si>
    <t>ООО "Невский прокатный завод"</t>
  </si>
  <si>
    <t>92100-195Э</t>
  </si>
  <si>
    <t>АО "Нордвег"</t>
  </si>
  <si>
    <t>92100-119Э</t>
  </si>
  <si>
    <t>ООО "Обедов"</t>
  </si>
  <si>
    <t>92100-319Э</t>
  </si>
  <si>
    <t>СПб ГКУ "Организатор перевозок"</t>
  </si>
  <si>
    <t>92100-088Э</t>
  </si>
  <si>
    <t>ООО "Полимер-Тех"</t>
  </si>
  <si>
    <t>92100-362Э</t>
  </si>
  <si>
    <t>ООО "Проммаш-Сервис"</t>
  </si>
  <si>
    <t>92100-133Э</t>
  </si>
  <si>
    <t>СПБ ГБПОУ "Промышленно-технологический колледж"</t>
  </si>
  <si>
    <t>ООО "РМК"</t>
  </si>
  <si>
    <t>92100-090Э</t>
  </si>
  <si>
    <t>ФГУП "Росморпорт"</t>
  </si>
  <si>
    <t>92100-198Э</t>
  </si>
  <si>
    <t>92100-168Э</t>
  </si>
  <si>
    <t>ООО "РСФ "СЕКВОЙЯ"</t>
  </si>
  <si>
    <t>92100-412Э</t>
  </si>
  <si>
    <t>ООО Фирма "Парсек"</t>
  </si>
  <si>
    <t>92100-024Э</t>
  </si>
  <si>
    <t xml:space="preserve">№ договора </t>
  </si>
  <si>
    <t>Дата договора</t>
  </si>
  <si>
    <t>92100-052Э</t>
  </si>
  <si>
    <t>92100-188Э</t>
  </si>
  <si>
    <t>ООО "КСТ"</t>
  </si>
  <si>
    <t>92100-148Э</t>
  </si>
  <si>
    <t>ООО "Промресурс"</t>
  </si>
  <si>
    <t>92100-149Э</t>
  </si>
  <si>
    <t>ООО "СКМЗ"</t>
  </si>
  <si>
    <t>92100-172Э</t>
  </si>
  <si>
    <t>ООО "Северный Металлоцентр"</t>
  </si>
  <si>
    <t>92100-154Э</t>
  </si>
  <si>
    <t>92100-083Э</t>
  </si>
  <si>
    <t>92100-217Э</t>
  </si>
  <si>
    <t>АО "Спецмаш"</t>
  </si>
  <si>
    <t>92100-027Э</t>
  </si>
  <si>
    <t>ООО "Термаль"</t>
  </si>
  <si>
    <t>ООО "Терморесурс"</t>
  </si>
  <si>
    <t>92100-017Э</t>
  </si>
  <si>
    <t>92100-355Э</t>
  </si>
  <si>
    <t>92100-199Э</t>
  </si>
  <si>
    <t>ООО "Торговый дом "Пролетарский труд"</t>
  </si>
  <si>
    <t>92100-395Э</t>
  </si>
  <si>
    <t>ИП Устинов Дмитрий Игоревич</t>
  </si>
  <si>
    <t>92100-341Э</t>
  </si>
  <si>
    <t>ООО "ХардВест"</t>
  </si>
  <si>
    <t>92100-332Э</t>
  </si>
  <si>
    <t>ООО "Хантер Групп"</t>
  </si>
  <si>
    <t>92100-359Э</t>
  </si>
  <si>
    <t>ООО "Формула пространства"</t>
  </si>
  <si>
    <t>92100-106Э</t>
  </si>
  <si>
    <t>АО "ЦКБМ"</t>
  </si>
  <si>
    <t>92100-047Э</t>
  </si>
  <si>
    <t>92100-218Э</t>
  </si>
  <si>
    <t>ООО "Апри"</t>
  </si>
  <si>
    <t>ООО "ЭЛОР"</t>
  </si>
  <si>
    <t>92100-101Э</t>
  </si>
  <si>
    <t xml:space="preserve">ООО "Юни Гранд-сервис" </t>
  </si>
  <si>
    <t>92100-271Э</t>
  </si>
  <si>
    <t>АО "Группа "Илим"</t>
  </si>
  <si>
    <t>92100-203Э</t>
  </si>
  <si>
    <t>ООО "Инвест-Станко"</t>
  </si>
  <si>
    <t>ООО "КАЛАН"</t>
  </si>
  <si>
    <t>ООО "Кирмех-Сервис"</t>
  </si>
  <si>
    <t>ООО "КСМ СПб"</t>
  </si>
  <si>
    <t>ООО "ГЛАССБУРГ"</t>
  </si>
  <si>
    <t>ООО "Допуск-0"</t>
  </si>
  <si>
    <t>ИП Возный Максим Аркадьевич</t>
  </si>
  <si>
    <t>ООО "БМК"</t>
  </si>
  <si>
    <t>ООО "ВИЗОТЕК РУС"</t>
  </si>
  <si>
    <t>ООО "ВТО - ЭкспоФормула"</t>
  </si>
  <si>
    <t>ООО "ВЭПС"</t>
  </si>
  <si>
    <t>92100-108Э</t>
  </si>
  <si>
    <t>92100-213Э</t>
  </si>
  <si>
    <t>92100-033Э</t>
  </si>
  <si>
    <t>ООО "Алекс Трейд"</t>
  </si>
  <si>
    <t>92100-386Э</t>
  </si>
  <si>
    <t>ООО "АКОМ+"</t>
  </si>
  <si>
    <t>92100-387Э</t>
  </si>
  <si>
    <t>АО "АЛЬФА-БАНК"</t>
  </si>
  <si>
    <t>92100-166Э</t>
  </si>
  <si>
    <t>ООО "АЛЬФАГИДРАВЛИКА"</t>
  </si>
  <si>
    <t>92100-369Э</t>
  </si>
  <si>
    <t>ООО "Компания "АНГСТРЕМ Трейдинг"</t>
  </si>
  <si>
    <t>92100-053Э</t>
  </si>
  <si>
    <t>92100-092Э</t>
  </si>
  <si>
    <t>Банк ВТБ (ПАО)</t>
  </si>
  <si>
    <t>92100-315Э</t>
  </si>
  <si>
    <t>92100-054Э</t>
  </si>
  <si>
    <t>ПАО "Банк Санкт - Петербург"</t>
  </si>
  <si>
    <t>92100-145Э</t>
  </si>
  <si>
    <t>ПАО "Вымпелком"</t>
  </si>
  <si>
    <t>92100-120Э</t>
  </si>
  <si>
    <t>92100-406Э</t>
  </si>
  <si>
    <t>ООО "Санкт-Петербургская фабрика "Гостара"</t>
  </si>
  <si>
    <t>ИП Дмитриенко Наталья Юрьевна</t>
  </si>
  <si>
    <t xml:space="preserve">ООО "ИМА Инжиниринг" </t>
  </si>
  <si>
    <t>92100-404Э</t>
  </si>
  <si>
    <t>92100-192Э</t>
  </si>
  <si>
    <t>92100-225Э</t>
  </si>
  <si>
    <t>ООО ПКФ "РЕЛИЗ"</t>
  </si>
  <si>
    <t>92100-415Э</t>
  </si>
  <si>
    <t>ИП Иванченко Николай Сергеевич</t>
  </si>
  <si>
    <t>ООО "ЕВРОВИК машсервис "</t>
  </si>
  <si>
    <t>92100-356Э</t>
  </si>
  <si>
    <t>ООО "ФИННШЛИФМЕТ"</t>
  </si>
  <si>
    <t xml:space="preserve">ООО "ВЕКТОРМЕХ" </t>
  </si>
  <si>
    <t>92100-306Э</t>
  </si>
  <si>
    <t xml:space="preserve">ООО "Тайлер" </t>
  </si>
  <si>
    <t>92100-303Э</t>
  </si>
  <si>
    <t>ИП Ермаков Игорь Александрович</t>
  </si>
  <si>
    <t>92100-300Э</t>
  </si>
  <si>
    <t xml:space="preserve">ООО "ПромМеталл" </t>
  </si>
  <si>
    <t>92100-299Э</t>
  </si>
  <si>
    <t>ООО "КонЛи"</t>
  </si>
  <si>
    <t>92100-297Э</t>
  </si>
  <si>
    <t>ООО "Адам"</t>
  </si>
  <si>
    <t>92100-294Э</t>
  </si>
  <si>
    <t>ООО "ТЕРМЭЙД "</t>
  </si>
  <si>
    <t>92100-291Э</t>
  </si>
  <si>
    <t>ООО "ЭнергоМашСервис"</t>
  </si>
  <si>
    <t>92100-335Э</t>
  </si>
  <si>
    <t xml:space="preserve">ООО "Сэмпл Стоун" </t>
  </si>
  <si>
    <t>92100-318Э</t>
  </si>
  <si>
    <t>92100-312Э</t>
  </si>
  <si>
    <t>ООО "Лотос"</t>
  </si>
  <si>
    <t>92100-289Э</t>
  </si>
  <si>
    <t>ООО "Балтийское металлообрабатывающее инструментальное предприятие"</t>
  </si>
  <si>
    <t>92100-327Э</t>
  </si>
  <si>
    <t>ИП Писанов Владислав Викторович</t>
  </si>
  <si>
    <t>ООО "Техномаш"</t>
  </si>
  <si>
    <t>92100-363Э</t>
  </si>
  <si>
    <t>АО "ПКБ "Автоматика"</t>
  </si>
  <si>
    <t>92100-087Э</t>
  </si>
  <si>
    <t>ООО "Бизнес центр "Шереметев"</t>
  </si>
  <si>
    <t>92100-100Э</t>
  </si>
  <si>
    <t>АО "Завод "Киров-Энергомаш"</t>
  </si>
  <si>
    <t>92100-010Э</t>
  </si>
  <si>
    <t>АО "Локомотив"</t>
  </si>
  <si>
    <t>92100-021Э</t>
  </si>
  <si>
    <t>АО "Металлургический завод "Петросталь"</t>
  </si>
  <si>
    <t>92100-014Э</t>
  </si>
  <si>
    <t>ЗАО "Завод "Универсалмаш"</t>
  </si>
  <si>
    <t>92100-009Э</t>
  </si>
  <si>
    <t>ООО "Транспортная компания "Сириус"</t>
  </si>
  <si>
    <t>92100-414Э</t>
  </si>
  <si>
    <t>ИП Бруданин Владимир Валериевич</t>
  </si>
  <si>
    <t>92100-419Э</t>
  </si>
  <si>
    <t>ООО "ГСК "ЭКС"</t>
  </si>
  <si>
    <t>92100-416Э</t>
  </si>
  <si>
    <t>ООО "Астринмет"</t>
  </si>
  <si>
    <t>92100-421Э</t>
  </si>
  <si>
    <t>ООО "НЕВАЭНЕРГОАТОМ"</t>
  </si>
  <si>
    <t>92100-425Э</t>
  </si>
  <si>
    <t>ООО "Мебель Сервис"</t>
  </si>
  <si>
    <t>92100-432Э</t>
  </si>
  <si>
    <t>ООО "Понтос"</t>
  </si>
  <si>
    <t>92100-438Э</t>
  </si>
  <si>
    <t>ИП Водолаго Екатерина Александровна</t>
  </si>
  <si>
    <t>92100-437Э</t>
  </si>
  <si>
    <t>ООО "НПО Лаборатория специальных сталей и сплавов"</t>
  </si>
  <si>
    <t>ООО "Ксанф"</t>
  </si>
  <si>
    <t>92100-436Э</t>
  </si>
  <si>
    <t>92100-428Э</t>
  </si>
  <si>
    <t>ООО "Норд-Металл"</t>
  </si>
  <si>
    <t>92100-446Э</t>
  </si>
  <si>
    <t>ООО "Континенталь"</t>
  </si>
  <si>
    <t>92100-408Э</t>
  </si>
  <si>
    <t>ООО "Диалог-Техника"</t>
  </si>
  <si>
    <t>92100-449Э</t>
  </si>
  <si>
    <t>ООО "КОНТЕЙНЕР СПб"</t>
  </si>
  <si>
    <t>92100-433Э</t>
  </si>
  <si>
    <t xml:space="preserve">ИП Кондратьева Лариса Викторовна </t>
  </si>
  <si>
    <t>92100-442Э</t>
  </si>
  <si>
    <t>ООО "ЭНЕРГИЯ ТЭК"</t>
  </si>
  <si>
    <t>92100-440Э</t>
  </si>
  <si>
    <t>ООО "КРИСТАЛЛ"</t>
  </si>
  <si>
    <t>92100-462Э</t>
  </si>
  <si>
    <t>АО "Газпромэнергосбыт"</t>
  </si>
  <si>
    <t>ООО "ЗВЕЗДА-КОМПЛЕКСНЫЕ ЭНЕРГЕТИЧЕСКИЕ РЕШЕНИЯ"</t>
  </si>
  <si>
    <t>92100-469Э</t>
  </si>
  <si>
    <t>аванс 100% до 25 числа предыдущего месяца; оконч. расчет - 18 числа месяца след за расчетным</t>
  </si>
  <si>
    <t>аванса нет,  оконч. расчет - 12 числа месяца след за расчетным</t>
  </si>
  <si>
    <t>Авансы: 1) 30% до 10 числа расчетного месяца;           2) 40% до 25 числа расчетного месяца;                                       Окончат.расчет - до 18 числа след месяца</t>
  </si>
  <si>
    <t>Авансы: 1) 30% до 10 числа расчетного месяца;           2) 40% до 25 числа расчетного месяца;                                       Окончат.расчет - до 20 числа след месяца</t>
  </si>
  <si>
    <t>Аванс 100% до 25 числа предыдущего месяца; оконч. расчет - 12 числа месяца след за расчетным</t>
  </si>
  <si>
    <t>Авансы по 25% 4, 11, 18, 25 числа расчетного месяца, окончательный расчет - 18 числа след месяца</t>
  </si>
  <si>
    <t>аванс 30% до 25 числа предыдущего месяца; оконч. расчет - 25 числа месяца след за расчетным</t>
  </si>
  <si>
    <t>авансы: 35% до 07 числа текущего месяца; 50% до до 21 числа текущего месяца; оконч. расчет - 15 числа месяца след за расчетным</t>
  </si>
  <si>
    <t>аванс 100% до 25 числа предыдущего месяца; оконч. расчет - 12 числа месяца след за расчетным</t>
  </si>
  <si>
    <t>ООО "Медстарт"</t>
  </si>
  <si>
    <t>92100-465Э</t>
  </si>
  <si>
    <t>Аванс 100% до 25 числа предыдущего месяца; оконч. расчет - 18 числа месяца след за расчетным</t>
  </si>
  <si>
    <t>НО "Фонд регионального развития"</t>
  </si>
  <si>
    <t>ООО "Лазер Проф"</t>
  </si>
  <si>
    <t>92100-481Э</t>
  </si>
  <si>
    <t>АО "Экспомаркет"</t>
  </si>
  <si>
    <t>ИП Фукс Анастасия Ильинична</t>
  </si>
  <si>
    <t>92100-476Э</t>
  </si>
  <si>
    <t>50% до 01 числа расчетного м-ца, 25% до 15 числа расчетного месяца, окончат. До 18 числа м-ца , следующим за расчетным</t>
  </si>
  <si>
    <t>Авансы до 4 ,11,18,25 числа расч.месяца по 25% и 18 числа след. за расчетным окончательный расчет</t>
  </si>
  <si>
    <t>аванс  до 25 числа  предш. Расчетному 50%, окончательный расчет до 08 числа следующего за расчетным</t>
  </si>
  <si>
    <t>График платежей  
 ( с указанием дат оплат авансов и ок.расчета)</t>
  </si>
  <si>
    <t>АО "КировТЭК"</t>
  </si>
  <si>
    <t>Договор энергоснабжения</t>
  </si>
  <si>
    <t xml:space="preserve">92100-008Э </t>
  </si>
  <si>
    <t>Тип договора</t>
  </si>
  <si>
    <t>92100-474Э</t>
  </si>
  <si>
    <t>Особый график: 30%-до 30 предш.  расч , до 11 расч мес-25%, до 18 расч мес-25%, до 25 расч мес-20%</t>
  </si>
  <si>
    <t>92100-393Э</t>
  </si>
  <si>
    <t>Обороты по выручке за год,
 руб.</t>
  </si>
  <si>
    <t>Выручка в квартал, руб.</t>
  </si>
  <si>
    <t>Наименование потребителя</t>
  </si>
  <si>
    <t>1. Договоры с покупателями услуг (товаров):</t>
  </si>
  <si>
    <t>Договор э/сн с ЭСК</t>
  </si>
  <si>
    <t>Дата заключения договора</t>
  </si>
  <si>
    <t>График платежей                              ( с указанием дат оплат авансов и ок.расчета)</t>
  </si>
  <si>
    <t>Действующие договора по Санкт-Петербургу и Ленинградской области</t>
  </si>
  <si>
    <t>МОДУЛЬ ООО</t>
  </si>
  <si>
    <t xml:space="preserve">92100-201ЭС </t>
  </si>
  <si>
    <t>30%- до 10 ч (расчетн)           40%- до 25 ч. (расчетн), ок расчет до 20 ч. (след.за расчетным)</t>
  </si>
  <si>
    <t>ООО "Бизнес-клуб "ЮНОНА"</t>
  </si>
  <si>
    <t xml:space="preserve">92100-202ЭС </t>
  </si>
  <si>
    <t>25%- до 10 ч (расчетн)           25%- до 25 ч. (расчетн), ок расчет до 20 ч. (след. за расчетным)</t>
  </si>
  <si>
    <t>АО «Компонент»</t>
  </si>
  <si>
    <t xml:space="preserve">92100-213ЭС </t>
  </si>
  <si>
    <t>30%- до 10 ч (расчетн)           40%- до 25 ч. (расчетн), ок. расчет до 20 ч. (след. за расчетным)</t>
  </si>
  <si>
    <t>ЗАО "Светлана-Рентген"</t>
  </si>
  <si>
    <t xml:space="preserve">92100-215ЭС </t>
  </si>
  <si>
    <t>30%- до 10 ч (расчетн)           40%- до 25 ч. (расчетн), ок расчет до 18 ч. (след. за расчетным)</t>
  </si>
  <si>
    <t xml:space="preserve">92100-218ЭС </t>
  </si>
  <si>
    <t>ООО "Осетрон"</t>
  </si>
  <si>
    <t xml:space="preserve">92100-222ЭС </t>
  </si>
  <si>
    <t>25%- до 4 ч (расчетн)           25%- до 11 ч. (расчетн)                     25%- до 18ч. (расчетн)                                  25%- до 25ч. (расчетн), ок расчет до 20ч. (след. за расчетным)</t>
  </si>
  <si>
    <t>ООО "Инвестиционная строительная компания "СВП-Инвест"</t>
  </si>
  <si>
    <t xml:space="preserve">92100-237ЭС </t>
  </si>
  <si>
    <t>30%- до 28 ч (пред.расчетн)           40%- до 18 ч. (расчетн), ок расчет до 18 ч. (след. за расчетным)</t>
  </si>
  <si>
    <t>СИДЖЕЙ РАВИОЛЛО РУС ООО</t>
  </si>
  <si>
    <t xml:space="preserve">92100-243ЭС </t>
  </si>
  <si>
    <t>30%-до 10ч. (расчетного) 40%-до 25ч. (расчетного), ок расчет до 18ч. (след за расчетным)</t>
  </si>
  <si>
    <t xml:space="preserve">92100-245ЭС </t>
  </si>
  <si>
    <t>35%-до 27ч. (пред.расч)     30%- до 05ч. (расчетного), ок расчет до 18ч. (след.за расчетным)</t>
  </si>
  <si>
    <t>ООО "Питерформ"</t>
  </si>
  <si>
    <t xml:space="preserve">92100-251ЭС </t>
  </si>
  <si>
    <t>30%- до 10ч. (расчетного) 40%- до 25ч. (расчетного), ок расчет до 18ч (след.до расчетного)</t>
  </si>
  <si>
    <t xml:space="preserve">92100-253ЭС </t>
  </si>
  <si>
    <t>35%- до 28 ч (пред.расчетн)           25%- до 11 ч. (расчетн)                     25%- до 18ч. (расчетн)                                  15%- до 25ч. (расчетн), ок расчет до 18ч. (след. за расчетным)</t>
  </si>
  <si>
    <t>ООО "ТЕРМОФИТ"</t>
  </si>
  <si>
    <t xml:space="preserve">92100-255ЭС </t>
  </si>
  <si>
    <t>70%- до 11 ч. (расчетного), ок. расчет до 18ч (след за расчетн)</t>
  </si>
  <si>
    <t>ООО "Продукт Групп"</t>
  </si>
  <si>
    <t xml:space="preserve">92100-265ЭС </t>
  </si>
  <si>
    <t>30 % аванс до 28 числа,             40% - до 11 числа            ок.расчет до 20 числа</t>
  </si>
  <si>
    <t xml:space="preserve">92100-266ЭС </t>
  </si>
  <si>
    <t>ООО "Товарная Областная Компания"</t>
  </si>
  <si>
    <t xml:space="preserve">92100-267ЭС </t>
  </si>
  <si>
    <t>65%- вторая среда расчетного месяца, ок расчет- четвертая среда месяца след за расчетным</t>
  </si>
  <si>
    <t>ООО "СК "Стиль"</t>
  </si>
  <si>
    <t xml:space="preserve">92100-277ЭС </t>
  </si>
  <si>
    <t>50%- до 01 ч (расч. месяца), 30%- до 15 ч (расч. месяца), ок расчет до 20ч (след за расчетным)</t>
  </si>
  <si>
    <t>ООО КОНТУР</t>
  </si>
  <si>
    <t>92100-280ЭС</t>
  </si>
  <si>
    <t>50%- до 01 ч (расч. месяца), ок расчет до 18ч (след за расчетным)</t>
  </si>
  <si>
    <t>43 % аванс до 30 числа,             30% - до 20 числа            ок.расчет до 18 числа</t>
  </si>
  <si>
    <t>ООО"ИНВЕСТМЕНТ РЕАЛ ЭСТЭЙТ"</t>
  </si>
  <si>
    <t>92100-290ЭС</t>
  </si>
  <si>
    <t>ООО "ОРИОН"</t>
  </si>
  <si>
    <t>92100-293ЭС</t>
  </si>
  <si>
    <t>ОАО «Авангард»</t>
  </si>
  <si>
    <t>92100-294ЭС</t>
  </si>
  <si>
    <t>Действующие договора по Новгородской области</t>
  </si>
  <si>
    <t>ООО Сетново</t>
  </si>
  <si>
    <t>92100-295КП</t>
  </si>
  <si>
    <t>30 % аванс до 10 числа,             40% - до 25 числа            ок.расчет до 18 числа</t>
  </si>
  <si>
    <t>ООО " Новгородская Лесопромышленная Компания "Содружество"</t>
  </si>
  <si>
    <t>92100-289 КП</t>
  </si>
  <si>
    <t>Директор</t>
  </si>
  <si>
    <t>______________________</t>
  </si>
  <si>
    <t>/Ломейко А.А./</t>
  </si>
  <si>
    <t>92100-426Э</t>
  </si>
  <si>
    <t>ПАО "Кировский завод"</t>
  </si>
  <si>
    <t>92100-468Э</t>
  </si>
  <si>
    <t xml:space="preserve">ООО "Дизель-Инструмент СПб" </t>
  </si>
  <si>
    <t>92100-448Э</t>
  </si>
  <si>
    <t>АО "Промышленный комплекс "Энергия"</t>
  </si>
  <si>
    <t>92100-492Э</t>
  </si>
  <si>
    <t>АО "СКБК"</t>
  </si>
  <si>
    <t>СПБ ГБПОУ "АМК"</t>
  </si>
  <si>
    <t>ЗАО «Электронмехоптикмаш»</t>
  </si>
  <si>
    <t>92100-301ЭС</t>
  </si>
  <si>
    <t>ООО «БЦ Петергофский»</t>
  </si>
  <si>
    <t>92100-302ЭС</t>
  </si>
  <si>
    <t>ООО «Гранит»</t>
  </si>
  <si>
    <t>92100-303ЭС</t>
  </si>
  <si>
    <t>ООО "БИОПРОД"</t>
  </si>
  <si>
    <t>ООО Доступные решения"</t>
  </si>
  <si>
    <t>92100-518Э</t>
  </si>
  <si>
    <t>92100-535Э</t>
  </si>
  <si>
    <t>ООО "Завьялов"</t>
  </si>
  <si>
    <t>92100-478Э</t>
  </si>
  <si>
    <t>ООО "КрафтЭнерго"</t>
  </si>
  <si>
    <t>92100-444Э</t>
  </si>
  <si>
    <t>ООО "ЛИДЕР"</t>
  </si>
  <si>
    <t>92100-515Э</t>
  </si>
  <si>
    <t>ООО "МеталлМонтажСервис"</t>
  </si>
  <si>
    <t>92100-510Э</t>
  </si>
  <si>
    <t>Павлова Галина Михайловна (ИП)</t>
  </si>
  <si>
    <t>92100-528Э</t>
  </si>
  <si>
    <t>ООО "ПОЛИМЕРВОЛОКНО"</t>
  </si>
  <si>
    <t>92100-532Э</t>
  </si>
  <si>
    <t>ООО "Портал"</t>
  </si>
  <si>
    <t>92100-520Э</t>
  </si>
  <si>
    <t>ООО "Сити-Гласс"</t>
  </si>
  <si>
    <t>ООО "ТЕХМЕТ"</t>
  </si>
  <si>
    <t>92100-516Э</t>
  </si>
  <si>
    <t>ООО "ТихоГрупп"</t>
  </si>
  <si>
    <t>92100-493Э</t>
  </si>
  <si>
    <t>АО "ТД "Восток-Сервис"</t>
  </si>
  <si>
    <t>92100-522Э</t>
  </si>
  <si>
    <t>ООО "Форсел"</t>
  </si>
  <si>
    <t>92100-479Э</t>
  </si>
  <si>
    <t>92100-505Э</t>
  </si>
  <si>
    <t>ООО "ЭнергоМоторСервис"</t>
  </si>
  <si>
    <t>92100-514Э</t>
  </si>
  <si>
    <t>92100-494Э</t>
  </si>
  <si>
    <t xml:space="preserve">92100-305 КП </t>
  </si>
  <si>
    <t>ООО «АРТ-ПРОЕКТ»</t>
  </si>
  <si>
    <t>ПАО "Контур"</t>
  </si>
  <si>
    <t>92100-306 КП</t>
  </si>
  <si>
    <t>92100-307 КП</t>
  </si>
  <si>
    <t>43 % аванс до 30 числа,             30% - до 20 числа (расчётного)            
ок.расчет до 18 числа</t>
  </si>
  <si>
    <t>Ионович Валерий Эдгарович</t>
  </si>
  <si>
    <t>92100-310ЭС</t>
  </si>
  <si>
    <t>ИП Фирюлин А.Г.</t>
  </si>
  <si>
    <t>92100-281ЭС</t>
  </si>
  <si>
    <t>100% аванс до 20 числа,                       ок.расчет до 18 числа</t>
  </si>
  <si>
    <t>ООО "Нетто Трейд"</t>
  </si>
  <si>
    <t>92100-311ЭС</t>
  </si>
  <si>
    <t>ООО "Крес Нева"</t>
  </si>
  <si>
    <t>92100-312ЭС</t>
  </si>
  <si>
    <t>АО «НПО Стеклопластик»</t>
  </si>
  <si>
    <t>92100-308 КП</t>
  </si>
  <si>
    <t xml:space="preserve">92100-318 КП </t>
  </si>
  <si>
    <t>30 % аванс до 26 числа,             40% - до 11 числа            ок.расчет до 18 числа</t>
  </si>
  <si>
    <t>АО "И.Т.М.С"</t>
  </si>
  <si>
    <t>Хесхус Ваел Рафик</t>
  </si>
  <si>
    <t>АО «БТК групп» (Саратов)</t>
  </si>
  <si>
    <t>ИП Фатуллаев Джаваншир Мамедага Оглы</t>
  </si>
  <si>
    <t>92100-678ЭА</t>
  </si>
  <si>
    <t>ООО "ВВК ЛОГИСТИК"</t>
  </si>
  <si>
    <t xml:space="preserve">92100-676ЭА </t>
  </si>
  <si>
    <t>СПБ ГКУ "ГОРОДСКОЙ ЦЕНТР УПРАВЛЕНИЯ ПАРКОВКАМИ САНКТ-ПЕТЕРБУРГА</t>
  </si>
  <si>
    <t>92100-675Э</t>
  </si>
  <si>
    <t>аванс 100% до 25 числа предыдущего месяца; оконч. расчет - 25 числа месяца след за расчетным</t>
  </si>
  <si>
    <t xml:space="preserve">91000-1-35 </t>
  </si>
  <si>
    <t>ООО "ММПОФ РОТОГРАВЮР"</t>
  </si>
  <si>
    <t>92100-316ЭС</t>
  </si>
  <si>
    <t>БИОВИТРУМ ИНВЕСТ ООО</t>
  </si>
  <si>
    <t>ЧУДОВО РВС ООО (ранее ЮПМ-КЮММЕНЕ ЧУДОВО ООО)</t>
  </si>
  <si>
    <t>ООО "ЭСАБ"</t>
  </si>
  <si>
    <t>92100-315ЭС</t>
  </si>
  <si>
    <t>НВ РОДНИК ООО</t>
  </si>
  <si>
    <t>92100-238 ЭС</t>
  </si>
  <si>
    <t>92100-583ЭА</t>
  </si>
  <si>
    <t>92100-651ЭА</t>
  </si>
  <si>
    <t>Т2-МОБАЙЛ</t>
  </si>
  <si>
    <t>92100-562ЭА</t>
  </si>
  <si>
    <t>ООО ИНВЕСТСТРОЙ</t>
  </si>
  <si>
    <t>92100-637ЭА</t>
  </si>
  <si>
    <t>ИНЖЕНЕРНЫЕ ТЕХНОЛОГИИ</t>
  </si>
  <si>
    <t>92100-638ЭА</t>
  </si>
  <si>
    <t>01.05.32023</t>
  </si>
  <si>
    <t>ЛАТМЕТ ООО</t>
  </si>
  <si>
    <t>92100-648ЭА</t>
  </si>
  <si>
    <t>ООО "ММЦ ПРОФМЕДИЦИНА"</t>
  </si>
  <si>
    <t>92100-672ЭА</t>
  </si>
  <si>
    <t>Северо-Западный филиал ПАО "Мегафон"</t>
  </si>
  <si>
    <t>МЕТЕК-ИНЖЕНИРИНГ</t>
  </si>
  <si>
    <t>92100-594ЭА</t>
  </si>
  <si>
    <t>МПВ ООО</t>
  </si>
  <si>
    <t>92100-670ЭА</t>
  </si>
  <si>
    <t>НПО РАДИОЭЛЕКТРОННОЕ ПРИБОРОСТРОЕНИЕ ООО</t>
  </si>
  <si>
    <t>92100-632ЭА</t>
  </si>
  <si>
    <t>ПК СПЕКТРУМ ООО</t>
  </si>
  <si>
    <t>92100-681ЭА</t>
  </si>
  <si>
    <t>ПТМ ООО</t>
  </si>
  <si>
    <t>РМ ГРУПП ООО</t>
  </si>
  <si>
    <t>92100-639ЭА</t>
  </si>
  <si>
    <t>92100-629ЭА</t>
  </si>
  <si>
    <t>Техмаркет ООО</t>
  </si>
  <si>
    <t>92100-566ЭА</t>
  </si>
  <si>
    <t>Храмцов Алексей Николаевич ИП</t>
  </si>
  <si>
    <t>92100-603ЭА</t>
  </si>
  <si>
    <t>ЭКСПРЕСС_АВТО ООО</t>
  </si>
  <si>
    <t>92100-617ЭА</t>
  </si>
  <si>
    <t>ТЕПЛОЭНЕГОПРОМ ООО</t>
  </si>
  <si>
    <t>Авансы до 10,25 числа расч.месяца по 70% и 18 числа след. за расчетным окончательный расчет</t>
  </si>
  <si>
    <t>Авансы до 10,25 числа расч.месяца  70% и 18 числа след. за расчетным окончательный расчет</t>
  </si>
  <si>
    <t>Действующие договора по Саратовской области</t>
  </si>
  <si>
    <t>БТК ГРУПП АО</t>
  </si>
  <si>
    <t>92100-318 КП</t>
  </si>
  <si>
    <t>92100-710ЭА</t>
  </si>
  <si>
    <t>92100-714ЭА</t>
  </si>
  <si>
    <t>360 СТРОИТЕЛЬСТВО ООО</t>
  </si>
  <si>
    <t>Севлент ООО</t>
  </si>
  <si>
    <t>Евразия транзит ООО</t>
  </si>
  <si>
    <t>ООО "Промышленые уплотнения СПБ"</t>
  </si>
  <si>
    <t>92100-715ЭА</t>
  </si>
  <si>
    <t>ООО"ЛГК"</t>
  </si>
  <si>
    <t>92100-716ЭА</t>
  </si>
  <si>
    <t>ООО "КР Транспорт"</t>
  </si>
  <si>
    <t>92100-717ЭА</t>
  </si>
  <si>
    <t>ООО "Сварочное и вентиляционное оборудование"</t>
  </si>
  <si>
    <t>92100-718ЭА</t>
  </si>
  <si>
    <t>ООО "ПромРешения"</t>
  </si>
  <si>
    <t>92100-719ЭА</t>
  </si>
  <si>
    <t>пока не подписан</t>
  </si>
  <si>
    <t>ООО "ВашДиВАН"</t>
  </si>
  <si>
    <t>92100-674ЭА</t>
  </si>
  <si>
    <t>92100-679ЭА</t>
  </si>
  <si>
    <t>ООО "Фабрика цвета"</t>
  </si>
  <si>
    <t>92100-685ЭА</t>
  </si>
  <si>
    <t>ООО "Вейчи Гидравлика"</t>
  </si>
  <si>
    <t>92100-686ЭА</t>
  </si>
  <si>
    <t>ИП Попов Алексей Викторович</t>
  </si>
  <si>
    <t>92100-688ЭА</t>
  </si>
  <si>
    <t>АО "ПО"Система"</t>
  </si>
  <si>
    <t>92100-690ЭА</t>
  </si>
  <si>
    <t>ООО "ТДС"</t>
  </si>
  <si>
    <t>92100-691ЭА</t>
  </si>
  <si>
    <t>АО "Турботект Санкт-Петербург"</t>
  </si>
  <si>
    <t>92100-692ЭА</t>
  </si>
  <si>
    <t>ИП Архипов Максим Алексеевич</t>
  </si>
  <si>
    <t>92100-693ЭА</t>
  </si>
  <si>
    <t>ООО "ФБК"</t>
  </si>
  <si>
    <t>92100-694ЭА</t>
  </si>
  <si>
    <t>ООО «ТСЗ-НТ»</t>
  </si>
  <si>
    <t>92100-695ЭА</t>
  </si>
  <si>
    <t>ООО "Гидравлические решения"</t>
  </si>
  <si>
    <t>92100-696ЭА</t>
  </si>
  <si>
    <t>ООО "Полипап"</t>
  </si>
  <si>
    <t>92100-697ЭА</t>
  </si>
  <si>
    <t>АО "ФИН-Стройматериал"</t>
  </si>
  <si>
    <t>92100-698ЭА</t>
  </si>
  <si>
    <t>92100-701ЭА</t>
  </si>
  <si>
    <t>ООО БАС-Сервис</t>
  </si>
  <si>
    <t>92100-703ЭА</t>
  </si>
  <si>
    <t>92100-705ЭА</t>
  </si>
  <si>
    <t>ООО "Невская механика"</t>
  </si>
  <si>
    <t>92100-706ЭА</t>
  </si>
  <si>
    <t>ИП Лебедев ОВ (Олег Владимрович)</t>
  </si>
  <si>
    <t>92100-708ЭА</t>
  </si>
  <si>
    <t>ООО " ТД Первый Стальной "</t>
  </si>
  <si>
    <t>92100-709ЭА</t>
  </si>
  <si>
    <t>ИП Толстенков А.А.</t>
  </si>
  <si>
    <t>92100-711ЭА</t>
  </si>
  <si>
    <t>ООО "Лесард Контейнер"</t>
  </si>
  <si>
    <t>92100-712ЭА</t>
  </si>
  <si>
    <t>ООО "МЗ №5"</t>
  </si>
  <si>
    <t>92100-713ЭА</t>
  </si>
  <si>
    <t>Оникс (ранее Егорова В.В. (ИП))</t>
  </si>
  <si>
    <t>Олда( ранее "Соната")</t>
  </si>
  <si>
    <t>ИП Григорьев (ранее ООО "Эстафета")</t>
  </si>
  <si>
    <t>КБИ (ранееСБИ ООО)</t>
  </si>
  <si>
    <t>92100-624ЭА</t>
  </si>
  <si>
    <t xml:space="preserve">             Перечень потребителей АО "ЭСК" по состоянию на 30.06.2026г.</t>
  </si>
  <si>
    <t xml:space="preserve">Перечень действующих договоров АО "ЭСК" по состоянию на 30.06.2026г. </t>
  </si>
  <si>
    <t>92100-286 КП</t>
  </si>
  <si>
    <t>40 % аванс до 30 числа,  предш.расчетному                        30% - до 10 числа (расчётного)            
ок.расчет до 18 числа</t>
  </si>
  <si>
    <t>АО "Метрострой Северной Столицы"</t>
  </si>
  <si>
    <t>ООО "Альфаком"</t>
  </si>
  <si>
    <t>92100-542Э</t>
  </si>
  <si>
    <t>АО «Петербургский тракторный завод», дочернее общество ОАО «Кировский завод»</t>
  </si>
  <si>
    <t xml:space="preserve">92100-012Э </t>
  </si>
  <si>
    <t>АО "Петербургский тракторный завод"</t>
  </si>
  <si>
    <t>Договор купли-продажи</t>
  </si>
  <si>
    <t>92100-671КП</t>
  </si>
  <si>
    <t>ООО "А-Приори"</t>
  </si>
  <si>
    <t>92100-524Э</t>
  </si>
  <si>
    <t>ООО «Балт.МИП»</t>
  </si>
  <si>
    <t>ИП Белынский К. С.</t>
  </si>
  <si>
    <t>92100-657ЭА</t>
  </si>
  <si>
    <t>ООО "Вестер"</t>
  </si>
  <si>
    <t>92100-549Э</t>
  </si>
  <si>
    <t>ООО "ГидравликСервис"</t>
  </si>
  <si>
    <t>92100-543Э</t>
  </si>
  <si>
    <t>Завьялова Светлана Николаевна"</t>
  </si>
  <si>
    <t>ИП Копосов Иван Владимирович</t>
  </si>
  <si>
    <t>92100-537Э</t>
  </si>
  <si>
    <t>ООО "МКС"</t>
  </si>
  <si>
    <t>92100-553Э</t>
  </si>
  <si>
    <t>ПАО «МобильныеТелеСистемы» "</t>
  </si>
  <si>
    <t xml:space="preserve">92100-056Э </t>
  </si>
  <si>
    <t>ООО "ПМК"</t>
  </si>
  <si>
    <t>92100-461Э</t>
  </si>
  <si>
    <t>ООО "СК "Стройтранс"</t>
  </si>
  <si>
    <t>92100-443Э</t>
  </si>
  <si>
    <t>ООО «ЭМС»</t>
  </si>
  <si>
    <t>ООО "ЕТС КОРДА"</t>
  </si>
  <si>
    <t>92100-572ЭА</t>
  </si>
  <si>
    <t>ООО "РУН"</t>
  </si>
  <si>
    <t>92100-584ЭА</t>
  </si>
  <si>
    <t>ИП Фомкина Александра Владимировна</t>
  </si>
  <si>
    <t>92100-581ЭА</t>
  </si>
  <si>
    <t>ООО "Завод гидроцилиндров "Метека"</t>
  </si>
  <si>
    <t>92100-580ЭА</t>
  </si>
  <si>
    <t>ООО "Спецремстанок"</t>
  </si>
  <si>
    <t>92100-587ЭА</t>
  </si>
  <si>
    <t>ООО "ЦКМ"</t>
  </si>
  <si>
    <t>92100-585ЭА</t>
  </si>
  <si>
    <t>ООО "РЦПП Квалитет"</t>
  </si>
  <si>
    <t>92100-596ЭА</t>
  </si>
  <si>
    <t>ООО "МЗ Адам"</t>
  </si>
  <si>
    <t>92100-595ЭА</t>
  </si>
  <si>
    <t>ООО "НАВИТЕК"</t>
  </si>
  <si>
    <t>92100-647ЭА</t>
  </si>
  <si>
    <t>ООО "Каре"</t>
  </si>
  <si>
    <t>92100-649ЭА</t>
  </si>
  <si>
    <t>ООО "ПОСТ"</t>
  </si>
  <si>
    <t>92100-652ЭА</t>
  </si>
  <si>
    <t>ООО "ТК АвтоглоБус"</t>
  </si>
  <si>
    <t>92100-423Э</t>
  </si>
  <si>
    <t>ООО "Дроггери Ритейл"</t>
  </si>
  <si>
    <t>92100-607ЭА</t>
  </si>
  <si>
    <t>Кошкин( ранее)ИП Малинкин Р.А.</t>
  </si>
  <si>
    <t>ООО "НОРМА"</t>
  </si>
  <si>
    <t>92100-575ЭА</t>
  </si>
  <si>
    <t>ООО "ОМП"</t>
  </si>
  <si>
    <t>92100-605ЭА</t>
  </si>
  <si>
    <t>ООО "ГОРЫНЫЧЬ РУСЬ"</t>
  </si>
  <si>
    <t>92100-606ЭА</t>
  </si>
  <si>
    <t>ООО "АРМАКОН СПБ"</t>
  </si>
  <si>
    <t>92100-600ЭА</t>
  </si>
  <si>
    <t>ИП Алексеева Анастасия Анатольевна</t>
  </si>
  <si>
    <t>92100-619ЭА</t>
  </si>
  <si>
    <t>ИП Медведева Светлана Викторовна</t>
  </si>
  <si>
    <t>92100-557Э</t>
  </si>
  <si>
    <t>ИП Никифоров Алексей Юрьевич</t>
  </si>
  <si>
    <t>92100-631ЭА</t>
  </si>
  <si>
    <t>ООО "ИФ "ТРИМА"</t>
  </si>
  <si>
    <t>92100-634ЭА</t>
  </si>
  <si>
    <t>ООО "Пружинный завод"</t>
  </si>
  <si>
    <t>92100-643ЭА</t>
  </si>
  <si>
    <t>ООО "МашТехнологии"</t>
  </si>
  <si>
    <t xml:space="preserve">92100-235Э </t>
  </si>
  <si>
    <t>ИП Умутбаев Дмитрий Радикович</t>
  </si>
  <si>
    <t>92100-659ЭА</t>
  </si>
  <si>
    <t>ИП Лузаков Сергей Кузьмич</t>
  </si>
  <si>
    <t>92100-663ЭА</t>
  </si>
  <si>
    <t>ООО "Первая Сварочная"</t>
  </si>
  <si>
    <t>92100-662ЭА</t>
  </si>
  <si>
    <t>ООО "Квант Энерджи"</t>
  </si>
  <si>
    <t>92100-644ЭА</t>
  </si>
  <si>
    <t>ООО "РСТ"</t>
  </si>
  <si>
    <t>92100-668ЭА</t>
  </si>
  <si>
    <t>ООО "НПП ПОЛИТЕХЦЕНТР"</t>
  </si>
  <si>
    <t>92100-689ЭА</t>
  </si>
  <si>
    <t>ООО ПРОМТЕХНОРЕСУРС"</t>
  </si>
  <si>
    <t>92100-635ЭА</t>
  </si>
  <si>
    <t>ИП Корж Екатерина Александровна</t>
  </si>
  <si>
    <t>92100-664ЭА</t>
  </si>
  <si>
    <t>ИП Кобылянский Аурилиан Анатольевич</t>
  </si>
  <si>
    <t>92100-586ЭА</t>
  </si>
  <si>
    <t>ООО «Газпромнефть Терминал СПб»</t>
  </si>
  <si>
    <t xml:space="preserve">92100-019Э </t>
  </si>
  <si>
    <t>ООО  ММТ (Морские технологии движения) / "МТД"</t>
  </si>
  <si>
    <t>92100-655ЭА</t>
  </si>
  <si>
    <t>ООО "Росинвест-СПБ"</t>
  </si>
  <si>
    <t>92100-208Э</t>
  </si>
  <si>
    <t>92100-342Э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</si>
</sst>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8"/>
      <name val="Arial"/>
      <family val="2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86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7" fillId="0" borderId="1" xfId="2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3" xfId="1" applyBorder="1" applyAlignment="1">
      <alignment vertical="top" wrapText="1" indent="3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vertical="center"/>
    </xf>
    <xf numFmtId="4" fontId="0" fillId="0" borderId="0" xfId="0" applyNumberFormat="1"/>
    <xf numFmtId="0" fontId="0" fillId="0" borderId="1" xfId="0" applyBorder="1" applyAlignment="1">
      <alignment horizontal="left" vertical="center" wrapText="1"/>
    </xf>
    <xf numFmtId="14" fontId="5" fillId="0" borderId="4" xfId="0" applyNumberFormat="1" applyFont="1" applyBorder="1" applyAlignment="1">
      <alignment horizontal="center" vertical="center"/>
    </xf>
    <xf numFmtId="4" fontId="0" fillId="0" borderId="4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4" fontId="0" fillId="2" borderId="0" xfId="0" applyNumberForma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4" fontId="8" fillId="0" borderId="1" xfId="2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/>
    </xf>
    <xf numFmtId="4" fontId="7" fillId="0" borderId="0" xfId="2" applyNumberFormat="1" applyFont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justify" vertical="center"/>
    </xf>
    <xf numFmtId="0" fontId="3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/>
    <xf numFmtId="0" fontId="10" fillId="3" borderId="1" xfId="0" applyFont="1" applyFill="1" applyBorder="1" applyAlignment="1">
      <alignment horizontal="justify" vertical="center" wrapText="1"/>
    </xf>
    <xf numFmtId="0" fontId="0" fillId="5" borderId="1" xfId="0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 wrapText="1"/>
    </xf>
    <xf numFmtId="0" fontId="2" fillId="2" borderId="0" xfId="0" applyFont="1" applyFill="1" applyAlignment="1">
      <alignment horizont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</cellXfs>
  <cellStyles count="3">
    <cellStyle name="Normal" xfId="0" builtinId="0"/>
    <cellStyle name="Обычный_Внешние" xfId="1" xr:uid="{5877EA26-1964-4872-A8C6-E90A9E219D38}"/>
    <cellStyle name="Обычный_Потребители КЗ" xfId="2" xr:uid="{CEFB5480-DB22-40D0-9EDB-3A8F076BB2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220B-8E90-4651-8A85-1E4A1B701ADD}">
  <sheetPr>
    <pageSetUpPr fitToPage="1"/>
  </sheetPr>
  <dimension ref="A1:I48"/>
  <sheetViews>
    <sheetView zoomScale="130" zoomScaleNormal="130" workbookViewId="0">
      <selection activeCell="E43" sqref="E43"/>
    </sheetView>
  </sheetViews>
  <sheetFormatPr defaultRowHeight="12.75" x14ac:dyDescent="0.2"/>
  <cols>
    <col min="1" max="1" width="7.42578125" style="6" customWidth="1"/>
    <col min="2" max="2" width="34.42578125" style="6" customWidth="1"/>
    <col min="3" max="3" width="19.140625" customWidth="1"/>
    <col min="4" max="4" width="14.140625" style="6" customWidth="1"/>
    <col min="5" max="5" width="27.42578125" style="7" customWidth="1"/>
    <col min="6" max="6" width="18.28515625" hidden="1" customWidth="1"/>
    <col min="7" max="7" width="18.28515625" customWidth="1"/>
    <col min="8" max="8" width="9.140625" style="6" customWidth="1"/>
    <col min="9" max="9" width="11.7109375" bestFit="1" customWidth="1"/>
  </cols>
  <sheetData>
    <row r="1" spans="1:9" s="46" customFormat="1" ht="15" x14ac:dyDescent="0.2">
      <c r="A1" s="44" t="s">
        <v>484</v>
      </c>
      <c r="B1" s="45"/>
      <c r="D1" s="45"/>
      <c r="E1" s="47"/>
      <c r="H1" s="45"/>
    </row>
    <row r="2" spans="1:9" ht="15" x14ac:dyDescent="0.2">
      <c r="A2" s="5" t="s">
        <v>231</v>
      </c>
    </row>
    <row r="3" spans="1:9" ht="77.25" customHeight="1" x14ac:dyDescent="0.2">
      <c r="A3" s="8" t="s">
        <v>0</v>
      </c>
      <c r="B3" s="8" t="s">
        <v>230</v>
      </c>
      <c r="C3" s="8" t="s">
        <v>232</v>
      </c>
      <c r="D3" s="4" t="s">
        <v>233</v>
      </c>
      <c r="E3" s="4" t="s">
        <v>234</v>
      </c>
      <c r="F3" s="4" t="s">
        <v>228</v>
      </c>
      <c r="G3" s="4" t="s">
        <v>229</v>
      </c>
    </row>
    <row r="4" spans="1:9" ht="25.5" customHeight="1" x14ac:dyDescent="0.2">
      <c r="A4" s="80" t="s">
        <v>235</v>
      </c>
      <c r="B4" s="81"/>
      <c r="C4" s="81"/>
      <c r="D4" s="81"/>
      <c r="E4" s="81"/>
      <c r="F4" s="81"/>
      <c r="G4" s="82"/>
    </row>
    <row r="5" spans="1:9" ht="51" x14ac:dyDescent="0.2">
      <c r="A5" s="23">
        <v>1</v>
      </c>
      <c r="B5" s="24" t="s">
        <v>236</v>
      </c>
      <c r="C5" s="25" t="s">
        <v>237</v>
      </c>
      <c r="D5" s="26">
        <v>40664</v>
      </c>
      <c r="E5" s="27" t="s">
        <v>238</v>
      </c>
      <c r="F5" s="28">
        <v>14036548.67</v>
      </c>
      <c r="G5" s="28">
        <v>2126125</v>
      </c>
      <c r="I5" s="29"/>
    </row>
    <row r="6" spans="1:9" ht="51" x14ac:dyDescent="0.2">
      <c r="A6" s="23">
        <f t="shared" ref="A6:A35" si="0">A5+1</f>
        <v>2</v>
      </c>
      <c r="B6" s="24" t="s">
        <v>239</v>
      </c>
      <c r="C6" s="25" t="s">
        <v>240</v>
      </c>
      <c r="D6" s="26">
        <v>40660</v>
      </c>
      <c r="E6" s="27" t="s">
        <v>241</v>
      </c>
      <c r="F6" s="28">
        <v>26936928.670000002</v>
      </c>
      <c r="G6" s="28">
        <v>16613000</v>
      </c>
      <c r="I6" s="29"/>
    </row>
    <row r="7" spans="1:9" ht="51" x14ac:dyDescent="0.2">
      <c r="A7" s="23">
        <f t="shared" si="0"/>
        <v>3</v>
      </c>
      <c r="B7" s="24" t="s">
        <v>242</v>
      </c>
      <c r="C7" s="25" t="s">
        <v>243</v>
      </c>
      <c r="D7" s="26">
        <v>40940</v>
      </c>
      <c r="E7" s="27" t="s">
        <v>244</v>
      </c>
      <c r="F7" s="28">
        <v>39428191.549999997</v>
      </c>
      <c r="G7" s="28">
        <v>10072218.85</v>
      </c>
      <c r="I7" s="29"/>
    </row>
    <row r="8" spans="1:9" ht="51" x14ac:dyDescent="0.2">
      <c r="A8" s="23">
        <f t="shared" si="0"/>
        <v>4</v>
      </c>
      <c r="B8" s="24" t="s">
        <v>245</v>
      </c>
      <c r="C8" s="25" t="s">
        <v>246</v>
      </c>
      <c r="D8" s="26">
        <v>40969</v>
      </c>
      <c r="E8" s="27" t="s">
        <v>247</v>
      </c>
      <c r="F8" s="28">
        <v>21446135.370000001</v>
      </c>
      <c r="G8" s="28">
        <v>4576033.5599999996</v>
      </c>
      <c r="I8" s="29"/>
    </row>
    <row r="9" spans="1:9" ht="51" x14ac:dyDescent="0.2">
      <c r="A9" s="23">
        <f t="shared" si="0"/>
        <v>5</v>
      </c>
      <c r="B9" s="24" t="s">
        <v>302</v>
      </c>
      <c r="C9" s="25" t="s">
        <v>248</v>
      </c>
      <c r="D9" s="26">
        <v>41030</v>
      </c>
      <c r="E9" s="27" t="s">
        <v>247</v>
      </c>
      <c r="F9" s="28">
        <v>522152625.94999999</v>
      </c>
      <c r="G9" s="28">
        <v>571579935.16999996</v>
      </c>
      <c r="I9" s="29"/>
    </row>
    <row r="10" spans="1:9" ht="76.5" x14ac:dyDescent="0.2">
      <c r="A10" s="23">
        <f t="shared" si="0"/>
        <v>6</v>
      </c>
      <c r="B10" s="24" t="s">
        <v>249</v>
      </c>
      <c r="C10" s="25" t="s">
        <v>250</v>
      </c>
      <c r="D10" s="26">
        <v>41183</v>
      </c>
      <c r="E10" s="27" t="s">
        <v>251</v>
      </c>
      <c r="F10" s="28">
        <v>1467363.55</v>
      </c>
      <c r="G10" s="28">
        <v>3771720.36</v>
      </c>
      <c r="I10" s="29"/>
    </row>
    <row r="11" spans="1:9" ht="51" x14ac:dyDescent="0.2">
      <c r="A11" s="23">
        <f t="shared" si="0"/>
        <v>7</v>
      </c>
      <c r="B11" s="24" t="s">
        <v>252</v>
      </c>
      <c r="C11" s="25" t="s">
        <v>253</v>
      </c>
      <c r="D11" s="26">
        <v>43191</v>
      </c>
      <c r="E11" s="27" t="s">
        <v>254</v>
      </c>
      <c r="F11" s="28">
        <v>30120020.050000001</v>
      </c>
      <c r="G11" s="28">
        <v>13137007.23</v>
      </c>
      <c r="I11" s="29"/>
    </row>
    <row r="12" spans="1:9" ht="51" x14ac:dyDescent="0.2">
      <c r="A12" s="23">
        <v>8</v>
      </c>
      <c r="B12" s="24" t="s">
        <v>255</v>
      </c>
      <c r="C12" s="25" t="s">
        <v>256</v>
      </c>
      <c r="D12" s="26">
        <v>41780</v>
      </c>
      <c r="E12" s="27" t="s">
        <v>257</v>
      </c>
      <c r="F12" s="28">
        <v>28957371.629999999</v>
      </c>
      <c r="G12" s="28">
        <v>11278993.390000001</v>
      </c>
      <c r="I12" s="29"/>
    </row>
    <row r="13" spans="1:9" ht="51" x14ac:dyDescent="0.2">
      <c r="A13" s="23">
        <f t="shared" si="0"/>
        <v>9</v>
      </c>
      <c r="B13" s="24" t="s">
        <v>344</v>
      </c>
      <c r="C13" s="25" t="s">
        <v>258</v>
      </c>
      <c r="D13" s="26">
        <v>41791</v>
      </c>
      <c r="E13" s="27" t="s">
        <v>259</v>
      </c>
      <c r="F13" s="28">
        <v>32199012.73</v>
      </c>
      <c r="G13" s="28">
        <v>15865271.630000001</v>
      </c>
      <c r="I13" s="29"/>
    </row>
    <row r="14" spans="1:9" ht="51" x14ac:dyDescent="0.2">
      <c r="A14" s="23">
        <v>10</v>
      </c>
      <c r="B14" s="24" t="s">
        <v>260</v>
      </c>
      <c r="C14" s="25" t="s">
        <v>261</v>
      </c>
      <c r="D14" s="26">
        <v>41932</v>
      </c>
      <c r="E14" s="27" t="s">
        <v>262</v>
      </c>
      <c r="F14" s="28">
        <v>185785436.68000001</v>
      </c>
      <c r="G14" s="28">
        <v>20644372.300000001</v>
      </c>
      <c r="I14" s="29"/>
    </row>
    <row r="15" spans="1:9" ht="76.5" x14ac:dyDescent="0.2">
      <c r="A15" s="23">
        <f t="shared" si="0"/>
        <v>11</v>
      </c>
      <c r="B15" s="24" t="s">
        <v>377</v>
      </c>
      <c r="C15" s="25" t="s">
        <v>263</v>
      </c>
      <c r="D15" s="26">
        <v>42309</v>
      </c>
      <c r="E15" s="27" t="s">
        <v>264</v>
      </c>
      <c r="F15" s="28">
        <v>30109388.170000002</v>
      </c>
      <c r="G15" s="28">
        <v>8081358</v>
      </c>
      <c r="I15" s="29"/>
    </row>
    <row r="16" spans="1:9" ht="38.25" x14ac:dyDescent="0.2">
      <c r="A16" s="23">
        <f t="shared" si="0"/>
        <v>12</v>
      </c>
      <c r="B16" s="24" t="s">
        <v>265</v>
      </c>
      <c r="C16" s="25" t="s">
        <v>266</v>
      </c>
      <c r="D16" s="26">
        <v>41974</v>
      </c>
      <c r="E16" s="27" t="s">
        <v>267</v>
      </c>
      <c r="F16" s="28">
        <v>3167229.19</v>
      </c>
      <c r="G16" s="28">
        <v>1006731.67</v>
      </c>
      <c r="I16" s="29"/>
    </row>
    <row r="17" spans="1:9" ht="38.25" x14ac:dyDescent="0.2">
      <c r="A17" s="23">
        <f t="shared" si="0"/>
        <v>13</v>
      </c>
      <c r="B17" s="24" t="s">
        <v>268</v>
      </c>
      <c r="C17" s="25" t="s">
        <v>269</v>
      </c>
      <c r="D17" s="26">
        <v>42226</v>
      </c>
      <c r="E17" s="27" t="s">
        <v>270</v>
      </c>
      <c r="F17" s="28">
        <v>955255.6</v>
      </c>
      <c r="G17" s="28">
        <v>284909.65999999997</v>
      </c>
      <c r="I17" s="29"/>
    </row>
    <row r="18" spans="1:9" ht="38.25" x14ac:dyDescent="0.2">
      <c r="A18" s="23">
        <f t="shared" si="0"/>
        <v>14</v>
      </c>
      <c r="B18" s="24" t="s">
        <v>363</v>
      </c>
      <c r="C18" s="25" t="s">
        <v>271</v>
      </c>
      <c r="D18" s="26">
        <v>42226</v>
      </c>
      <c r="E18" s="27" t="s">
        <v>270</v>
      </c>
      <c r="F18" s="28">
        <v>1126521.3</v>
      </c>
      <c r="G18" s="28">
        <v>31438.38</v>
      </c>
      <c r="I18" s="29"/>
    </row>
    <row r="19" spans="1:9" ht="38.25" x14ac:dyDescent="0.2">
      <c r="A19" s="23">
        <f t="shared" si="0"/>
        <v>15</v>
      </c>
      <c r="B19" s="24" t="s">
        <v>272</v>
      </c>
      <c r="C19" s="25" t="s">
        <v>273</v>
      </c>
      <c r="D19" s="26">
        <v>42226</v>
      </c>
      <c r="E19" s="27" t="s">
        <v>270</v>
      </c>
      <c r="F19" s="28">
        <v>728145.48</v>
      </c>
      <c r="G19" s="28">
        <v>213825.23</v>
      </c>
      <c r="I19" s="29"/>
    </row>
    <row r="20" spans="1:9" ht="51" x14ac:dyDescent="0.2">
      <c r="A20" s="23">
        <f t="shared" si="0"/>
        <v>16</v>
      </c>
      <c r="B20" s="24" t="s">
        <v>362</v>
      </c>
      <c r="C20" s="25" t="s">
        <v>343</v>
      </c>
      <c r="D20" s="26">
        <v>44197</v>
      </c>
      <c r="E20" s="27" t="s">
        <v>274</v>
      </c>
      <c r="F20" s="28">
        <v>131057397.44</v>
      </c>
      <c r="G20" s="28">
        <v>44878044.600000001</v>
      </c>
      <c r="I20" s="29"/>
    </row>
    <row r="21" spans="1:9" ht="38.25" x14ac:dyDescent="0.2">
      <c r="A21" s="23">
        <f t="shared" si="0"/>
        <v>17</v>
      </c>
      <c r="B21" s="24" t="s">
        <v>364</v>
      </c>
      <c r="C21" s="25" t="s">
        <v>360</v>
      </c>
      <c r="D21" s="26">
        <v>45292</v>
      </c>
      <c r="E21" s="27" t="s">
        <v>361</v>
      </c>
      <c r="F21" s="28"/>
      <c r="G21" s="28">
        <v>3340791.8</v>
      </c>
      <c r="I21" s="29"/>
    </row>
    <row r="22" spans="1:9" ht="51" x14ac:dyDescent="0.2">
      <c r="A22" s="23">
        <f t="shared" si="0"/>
        <v>18</v>
      </c>
      <c r="B22" s="24" t="s">
        <v>275</v>
      </c>
      <c r="C22" s="25" t="s">
        <v>276</v>
      </c>
      <c r="D22" s="26">
        <v>42948</v>
      </c>
      <c r="E22" s="27" t="s">
        <v>277</v>
      </c>
      <c r="F22" s="28">
        <v>18273577.559999999</v>
      </c>
      <c r="G22" s="28">
        <v>9032561.9900000002</v>
      </c>
      <c r="I22" s="29"/>
    </row>
    <row r="23" spans="1:9" ht="38.25" x14ac:dyDescent="0.2">
      <c r="A23" s="23">
        <f t="shared" si="0"/>
        <v>19</v>
      </c>
      <c r="B23" s="24" t="s">
        <v>278</v>
      </c>
      <c r="C23" s="25" t="s">
        <v>279</v>
      </c>
      <c r="D23" s="26">
        <v>42761</v>
      </c>
      <c r="E23" s="27" t="s">
        <v>280</v>
      </c>
      <c r="F23" s="28">
        <v>18371600.440000001</v>
      </c>
      <c r="G23" s="28">
        <v>8058950.9400000004</v>
      </c>
      <c r="I23" s="29"/>
    </row>
    <row r="24" spans="1:9" ht="38.25" x14ac:dyDescent="0.2">
      <c r="A24" s="23">
        <f t="shared" si="0"/>
        <v>20</v>
      </c>
      <c r="B24" s="24" t="s">
        <v>282</v>
      </c>
      <c r="C24" s="25" t="s">
        <v>283</v>
      </c>
      <c r="D24" s="26">
        <v>43191</v>
      </c>
      <c r="E24" s="27" t="s">
        <v>281</v>
      </c>
      <c r="F24" s="28">
        <v>18894045.039999999</v>
      </c>
      <c r="G24" s="28">
        <v>6188496.3399999999</v>
      </c>
      <c r="I24" s="29"/>
    </row>
    <row r="25" spans="1:9" ht="38.25" x14ac:dyDescent="0.2">
      <c r="A25" s="23">
        <f t="shared" si="0"/>
        <v>21</v>
      </c>
      <c r="B25" s="24" t="s">
        <v>284</v>
      </c>
      <c r="C25" s="25" t="s">
        <v>285</v>
      </c>
      <c r="D25" s="26">
        <v>43466</v>
      </c>
      <c r="E25" s="27" t="s">
        <v>281</v>
      </c>
      <c r="F25" s="28">
        <v>39204992.509999998</v>
      </c>
      <c r="G25" s="28">
        <v>20466825.079999998</v>
      </c>
      <c r="I25" s="29"/>
    </row>
    <row r="26" spans="1:9" ht="51" x14ac:dyDescent="0.2">
      <c r="A26" s="23">
        <f t="shared" si="0"/>
        <v>22</v>
      </c>
      <c r="B26" s="24" t="s">
        <v>286</v>
      </c>
      <c r="C26" s="25" t="s">
        <v>287</v>
      </c>
      <c r="D26" s="26">
        <v>43525</v>
      </c>
      <c r="E26" s="27" t="s">
        <v>247</v>
      </c>
      <c r="F26" s="28">
        <v>39628378.850000001</v>
      </c>
      <c r="G26" s="28">
        <v>12529412.43</v>
      </c>
      <c r="I26" s="29"/>
    </row>
    <row r="27" spans="1:9" ht="38.25" x14ac:dyDescent="0.2">
      <c r="A27" s="23">
        <f t="shared" si="0"/>
        <v>23</v>
      </c>
      <c r="B27" s="24" t="s">
        <v>306</v>
      </c>
      <c r="C27" s="25" t="s">
        <v>307</v>
      </c>
      <c r="D27" s="26">
        <v>43891</v>
      </c>
      <c r="E27" s="27" t="s">
        <v>281</v>
      </c>
      <c r="F27" s="28">
        <v>162751.6</v>
      </c>
      <c r="G27" s="28">
        <v>1576710.9</v>
      </c>
      <c r="I27" s="29"/>
    </row>
    <row r="28" spans="1:9" ht="38.25" x14ac:dyDescent="0.2">
      <c r="A28" s="23">
        <f t="shared" si="0"/>
        <v>24</v>
      </c>
      <c r="B28" s="24" t="s">
        <v>308</v>
      </c>
      <c r="C28" s="25" t="s">
        <v>309</v>
      </c>
      <c r="D28" s="26">
        <v>44008</v>
      </c>
      <c r="E28" s="27" t="s">
        <v>281</v>
      </c>
      <c r="F28" s="28">
        <v>1478673.38</v>
      </c>
      <c r="G28" s="28">
        <v>498309.56</v>
      </c>
      <c r="I28" s="29"/>
    </row>
    <row r="29" spans="1:9" ht="38.25" x14ac:dyDescent="0.2">
      <c r="A29" s="23">
        <f t="shared" si="0"/>
        <v>25</v>
      </c>
      <c r="B29" s="24" t="s">
        <v>310</v>
      </c>
      <c r="C29" s="25" t="s">
        <v>311</v>
      </c>
      <c r="D29" s="26">
        <v>44013</v>
      </c>
      <c r="E29" s="27" t="s">
        <v>281</v>
      </c>
      <c r="F29" s="28">
        <v>712403.31</v>
      </c>
      <c r="G29" s="28">
        <v>480470.6</v>
      </c>
      <c r="I29" s="29"/>
    </row>
    <row r="30" spans="1:9" ht="38.25" x14ac:dyDescent="0.2">
      <c r="A30" s="23">
        <f t="shared" si="0"/>
        <v>26</v>
      </c>
      <c r="B30" s="24" t="s">
        <v>349</v>
      </c>
      <c r="C30" s="25" t="s">
        <v>350</v>
      </c>
      <c r="D30" s="26">
        <v>44501</v>
      </c>
      <c r="E30" s="27" t="s">
        <v>281</v>
      </c>
      <c r="F30" s="28"/>
      <c r="G30" s="23">
        <v>12498.05</v>
      </c>
      <c r="I30" s="29"/>
    </row>
    <row r="31" spans="1:9" ht="25.5" x14ac:dyDescent="0.2">
      <c r="A31" s="23">
        <f t="shared" si="0"/>
        <v>27</v>
      </c>
      <c r="B31" s="24" t="s">
        <v>351</v>
      </c>
      <c r="C31" s="25" t="s">
        <v>352</v>
      </c>
      <c r="D31" s="26">
        <v>42803</v>
      </c>
      <c r="E31" s="27" t="s">
        <v>353</v>
      </c>
      <c r="F31" s="28">
        <v>269925.11</v>
      </c>
      <c r="G31" s="28">
        <v>94999.679999999993</v>
      </c>
      <c r="I31" s="29"/>
    </row>
    <row r="32" spans="1:9" ht="38.25" x14ac:dyDescent="0.2">
      <c r="A32" s="23">
        <f t="shared" si="0"/>
        <v>28</v>
      </c>
      <c r="B32" s="24" t="s">
        <v>354</v>
      </c>
      <c r="C32" s="25" t="s">
        <v>355</v>
      </c>
      <c r="D32" s="26">
        <v>44501</v>
      </c>
      <c r="E32" s="27" t="s">
        <v>281</v>
      </c>
      <c r="F32" s="28">
        <v>576540.27</v>
      </c>
      <c r="G32" s="28">
        <v>151153.34</v>
      </c>
      <c r="I32" s="29"/>
    </row>
    <row r="33" spans="1:9" ht="38.25" x14ac:dyDescent="0.2">
      <c r="A33" s="23">
        <f t="shared" si="0"/>
        <v>29</v>
      </c>
      <c r="B33" s="24" t="s">
        <v>356</v>
      </c>
      <c r="C33" s="25" t="s">
        <v>357</v>
      </c>
      <c r="D33" s="26">
        <v>44767</v>
      </c>
      <c r="E33" s="27" t="s">
        <v>291</v>
      </c>
      <c r="F33" s="28">
        <v>35088467.130000003</v>
      </c>
      <c r="G33" s="28">
        <v>8353530.7000000002</v>
      </c>
      <c r="I33" s="29"/>
    </row>
    <row r="34" spans="1:9" ht="25.5" x14ac:dyDescent="0.2">
      <c r="A34" s="23">
        <f t="shared" si="0"/>
        <v>30</v>
      </c>
      <c r="B34" s="30" t="s">
        <v>373</v>
      </c>
      <c r="C34" s="22" t="s">
        <v>372</v>
      </c>
      <c r="D34" s="31">
        <v>39814</v>
      </c>
      <c r="E34" s="27" t="s">
        <v>353</v>
      </c>
      <c r="F34" s="32">
        <f>G34*4</f>
        <v>164565938.75999999</v>
      </c>
      <c r="G34" s="28">
        <v>41141484.689999998</v>
      </c>
      <c r="I34" s="29"/>
    </row>
    <row r="35" spans="1:9" ht="25.5" x14ac:dyDescent="0.2">
      <c r="A35" s="23">
        <f t="shared" si="0"/>
        <v>31</v>
      </c>
      <c r="B35" s="30" t="s">
        <v>373</v>
      </c>
      <c r="C35" s="22" t="s">
        <v>374</v>
      </c>
      <c r="D35" s="31">
        <v>45170</v>
      </c>
      <c r="E35" s="27" t="s">
        <v>353</v>
      </c>
      <c r="F35" s="32">
        <f>G35*4</f>
        <v>8008735.96</v>
      </c>
      <c r="G35" s="28">
        <v>2002183.99</v>
      </c>
      <c r="I35" s="29"/>
    </row>
    <row r="36" spans="1:9" ht="30" customHeight="1" x14ac:dyDescent="0.2">
      <c r="A36" s="23">
        <f>A35+1</f>
        <v>32</v>
      </c>
      <c r="B36" s="30" t="s">
        <v>375</v>
      </c>
      <c r="C36" s="22" t="s">
        <v>378</v>
      </c>
      <c r="D36" s="31">
        <v>45028</v>
      </c>
      <c r="E36" s="27" t="s">
        <v>353</v>
      </c>
      <c r="F36" s="32"/>
      <c r="G36" s="28">
        <v>3725838.55</v>
      </c>
      <c r="I36" s="29"/>
    </row>
    <row r="37" spans="1:9" ht="26.25" customHeight="1" x14ac:dyDescent="0.2">
      <c r="A37" s="83" t="s">
        <v>288</v>
      </c>
      <c r="B37" s="84"/>
      <c r="C37" s="84"/>
      <c r="D37" s="84"/>
      <c r="E37" s="84"/>
      <c r="F37" s="84"/>
      <c r="G37" s="85"/>
    </row>
    <row r="38" spans="1:9" s="1" customFormat="1" ht="38.25" x14ac:dyDescent="0.2">
      <c r="A38" s="33">
        <v>1</v>
      </c>
      <c r="B38" s="34" t="s">
        <v>289</v>
      </c>
      <c r="C38" s="35" t="s">
        <v>290</v>
      </c>
      <c r="D38" s="36">
        <v>43282</v>
      </c>
      <c r="E38" s="37" t="s">
        <v>291</v>
      </c>
      <c r="F38" s="38">
        <v>53928718.700000003</v>
      </c>
      <c r="G38" s="28">
        <v>16738574.619999999</v>
      </c>
      <c r="H38" s="39"/>
      <c r="I38" s="40"/>
    </row>
    <row r="39" spans="1:9" ht="45.75" customHeight="1" x14ac:dyDescent="0.2">
      <c r="A39" s="23">
        <v>2</v>
      </c>
      <c r="B39" s="24" t="s">
        <v>292</v>
      </c>
      <c r="C39" s="25" t="s">
        <v>293</v>
      </c>
      <c r="D39" s="26">
        <v>43191</v>
      </c>
      <c r="E39" s="27" t="s">
        <v>291</v>
      </c>
      <c r="F39" s="28">
        <v>1681215.46</v>
      </c>
      <c r="G39" s="28">
        <v>2228487.75</v>
      </c>
    </row>
    <row r="40" spans="1:9" ht="38.25" x14ac:dyDescent="0.2">
      <c r="A40" s="23">
        <v>3</v>
      </c>
      <c r="B40" s="24" t="s">
        <v>345</v>
      </c>
      <c r="C40" s="25" t="s">
        <v>346</v>
      </c>
      <c r="D40" s="26">
        <v>44575</v>
      </c>
      <c r="E40" s="27" t="s">
        <v>291</v>
      </c>
      <c r="F40" s="28">
        <v>35949234.369999997</v>
      </c>
      <c r="G40" s="28">
        <v>8144009.4400000004</v>
      </c>
      <c r="I40" s="29"/>
    </row>
    <row r="41" spans="1:9" s="1" customFormat="1" ht="38.25" x14ac:dyDescent="0.2">
      <c r="A41" s="33">
        <v>4</v>
      </c>
      <c r="B41" s="34" t="s">
        <v>376</v>
      </c>
      <c r="C41" s="35" t="s">
        <v>347</v>
      </c>
      <c r="D41" s="36">
        <v>44501</v>
      </c>
      <c r="E41" s="37" t="s">
        <v>291</v>
      </c>
      <c r="F41" s="38">
        <v>98162869.25</v>
      </c>
      <c r="G41" s="28">
        <v>31671403.359999999</v>
      </c>
      <c r="H41" s="39"/>
      <c r="I41" s="40"/>
    </row>
    <row r="42" spans="1:9" s="1" customFormat="1" ht="38.25" x14ac:dyDescent="0.2">
      <c r="A42" s="23">
        <v>5</v>
      </c>
      <c r="B42" s="34" t="s">
        <v>379</v>
      </c>
      <c r="C42" s="35" t="s">
        <v>380</v>
      </c>
      <c r="D42" s="36">
        <v>45292</v>
      </c>
      <c r="E42" s="37" t="s">
        <v>291</v>
      </c>
      <c r="F42" s="38"/>
      <c r="G42" s="28">
        <v>19607880.940000001</v>
      </c>
      <c r="H42" s="39"/>
      <c r="I42" s="40"/>
    </row>
    <row r="43" spans="1:9" s="1" customFormat="1" ht="63.75" x14ac:dyDescent="0.2">
      <c r="A43" s="23">
        <v>6</v>
      </c>
      <c r="B43" s="34" t="s">
        <v>379</v>
      </c>
      <c r="C43" s="35" t="s">
        <v>485</v>
      </c>
      <c r="D43" s="36">
        <v>43191</v>
      </c>
      <c r="E43" s="37" t="s">
        <v>486</v>
      </c>
      <c r="F43" s="38"/>
      <c r="G43" s="28"/>
      <c r="H43" s="39"/>
      <c r="I43" s="40"/>
    </row>
    <row r="44" spans="1:9" ht="38.25" x14ac:dyDescent="0.2">
      <c r="A44" s="23">
        <v>7</v>
      </c>
      <c r="B44" s="24" t="s">
        <v>358</v>
      </c>
      <c r="C44" s="25" t="s">
        <v>359</v>
      </c>
      <c r="D44" s="26">
        <v>45017</v>
      </c>
      <c r="E44" s="27" t="s">
        <v>291</v>
      </c>
      <c r="F44" s="28">
        <v>14306014.800000001</v>
      </c>
      <c r="G44" s="28">
        <v>6497567.3799999999</v>
      </c>
      <c r="I44" s="29"/>
    </row>
    <row r="45" spans="1:9" ht="26.25" customHeight="1" x14ac:dyDescent="0.2">
      <c r="A45" s="83" t="s">
        <v>416</v>
      </c>
      <c r="B45" s="84"/>
      <c r="C45" s="84"/>
      <c r="D45" s="84"/>
      <c r="E45" s="84"/>
      <c r="F45" s="84"/>
      <c r="G45" s="85"/>
    </row>
    <row r="46" spans="1:9" ht="51" x14ac:dyDescent="0.2">
      <c r="A46" s="23">
        <v>1</v>
      </c>
      <c r="B46" s="24" t="s">
        <v>417</v>
      </c>
      <c r="C46" s="25" t="s">
        <v>418</v>
      </c>
      <c r="D46" s="26">
        <v>45292</v>
      </c>
      <c r="E46" s="27" t="s">
        <v>348</v>
      </c>
      <c r="F46" s="28">
        <f>G46*4</f>
        <v>90150411.840000004</v>
      </c>
      <c r="G46" s="28">
        <v>22537602.960000001</v>
      </c>
      <c r="I46" s="29"/>
    </row>
    <row r="48" spans="1:9" x14ac:dyDescent="0.2">
      <c r="B48" s="6" t="s">
        <v>294</v>
      </c>
      <c r="C48" t="s">
        <v>295</v>
      </c>
      <c r="D48" s="6" t="s">
        <v>296</v>
      </c>
    </row>
  </sheetData>
  <autoFilter ref="A4:I4" xr:uid="{E4A31492-1BA2-4602-BC57-C3EEEA2DC262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3">
    <mergeCell ref="A4:G4"/>
    <mergeCell ref="A37:G37"/>
    <mergeCell ref="A45:G45"/>
  </mergeCells>
  <pageMargins left="0.74803149606299213" right="0.35433070866141736" top="0.39370078740157483" bottom="0.39370078740157483" header="0" footer="0"/>
  <pageSetup paperSize="9" scale="67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9FED-48C3-4502-A501-6BC5C75DB3D9}">
  <dimension ref="A2:I291"/>
  <sheetViews>
    <sheetView tabSelected="1" view="pageBreakPreview" zoomScaleNormal="100" zoomScaleSheetLayoutView="100" workbookViewId="0">
      <pane xSplit="2" ySplit="4" topLeftCell="C216" activePane="bottomRight" state="frozen"/>
      <selection pane="topRight" activeCell="C1" sqref="C1"/>
      <selection pane="bottomLeft" activeCell="A5" sqref="A5"/>
      <selection pane="bottomRight" activeCell="F227" sqref="F227"/>
    </sheetView>
  </sheetViews>
  <sheetFormatPr defaultRowHeight="12.75" x14ac:dyDescent="0.2"/>
  <cols>
    <col min="1" max="1" width="12.7109375" style="1" bestFit="1" customWidth="1"/>
    <col min="2" max="2" width="53.5703125" style="1" customWidth="1"/>
    <col min="3" max="3" width="19.5703125" style="1" customWidth="1"/>
    <col min="4" max="4" width="18.7109375" style="1" customWidth="1"/>
    <col min="5" max="5" width="20.85546875" style="1" customWidth="1"/>
    <col min="6" max="6" width="44.7109375" style="1" customWidth="1"/>
    <col min="7" max="7" width="21.85546875" style="15" customWidth="1"/>
  </cols>
  <sheetData>
    <row r="2" spans="1:7" ht="18.75" x14ac:dyDescent="0.3">
      <c r="A2" s="79" t="s">
        <v>483</v>
      </c>
      <c r="B2" s="79"/>
      <c r="C2" s="79"/>
      <c r="D2" s="79"/>
      <c r="E2" s="79"/>
    </row>
    <row r="3" spans="1:7" x14ac:dyDescent="0.2">
      <c r="A3" s="2"/>
      <c r="B3" s="2"/>
      <c r="C3" s="2"/>
      <c r="D3" s="2"/>
      <c r="E3" s="2"/>
    </row>
    <row r="4" spans="1:7" ht="30" x14ac:dyDescent="0.2">
      <c r="A4" s="4" t="s">
        <v>0</v>
      </c>
      <c r="B4" s="4" t="s">
        <v>230</v>
      </c>
      <c r="C4" s="4" t="s">
        <v>224</v>
      </c>
      <c r="D4" s="4" t="s">
        <v>38</v>
      </c>
      <c r="E4" s="4" t="s">
        <v>39</v>
      </c>
      <c r="F4" s="4" t="s">
        <v>220</v>
      </c>
      <c r="G4" s="48" t="s">
        <v>229</v>
      </c>
    </row>
    <row r="5" spans="1:7" ht="38.25" x14ac:dyDescent="0.2">
      <c r="A5" s="16">
        <v>1</v>
      </c>
      <c r="B5" s="57" t="s">
        <v>97</v>
      </c>
      <c r="C5" s="13" t="s">
        <v>222</v>
      </c>
      <c r="D5" s="11" t="s">
        <v>98</v>
      </c>
      <c r="E5" s="12">
        <v>42064</v>
      </c>
      <c r="F5" s="14" t="s">
        <v>199</v>
      </c>
      <c r="G5" s="15">
        <v>123839.36</v>
      </c>
    </row>
    <row r="6" spans="1:7" ht="38.25" x14ac:dyDescent="0.2">
      <c r="A6" s="16">
        <f t="shared" ref="A6:A37" si="0">A5+1</f>
        <v>2</v>
      </c>
      <c r="B6" s="57" t="s">
        <v>196</v>
      </c>
      <c r="C6" s="13" t="s">
        <v>222</v>
      </c>
      <c r="D6" s="11" t="s">
        <v>14</v>
      </c>
      <c r="E6" s="12">
        <v>42856</v>
      </c>
      <c r="F6" s="14" t="s">
        <v>202</v>
      </c>
      <c r="G6" s="15">
        <v>5585806.0700000003</v>
      </c>
    </row>
    <row r="7" spans="1:7" ht="31.5" x14ac:dyDescent="0.2">
      <c r="A7" s="16">
        <f t="shared" si="0"/>
        <v>3</v>
      </c>
      <c r="B7" s="57" t="s">
        <v>154</v>
      </c>
      <c r="C7" s="13" t="s">
        <v>222</v>
      </c>
      <c r="D7" s="11" t="s">
        <v>155</v>
      </c>
      <c r="E7" s="12">
        <v>39814</v>
      </c>
      <c r="F7" s="17" t="s">
        <v>218</v>
      </c>
      <c r="G7" s="15">
        <v>23579059.289999999</v>
      </c>
    </row>
    <row r="8" spans="1:7" ht="38.25" x14ac:dyDescent="0.2">
      <c r="A8" s="16">
        <f t="shared" si="0"/>
        <v>4</v>
      </c>
      <c r="B8" s="64" t="s">
        <v>221</v>
      </c>
      <c r="C8" s="13" t="s">
        <v>222</v>
      </c>
      <c r="D8" s="11" t="s">
        <v>223</v>
      </c>
      <c r="E8" s="12">
        <v>39630</v>
      </c>
      <c r="F8" s="18" t="s">
        <v>219</v>
      </c>
      <c r="G8" s="15">
        <v>35194024.07</v>
      </c>
    </row>
    <row r="9" spans="1:7" ht="31.5" x14ac:dyDescent="0.2">
      <c r="A9" s="16">
        <f t="shared" si="0"/>
        <v>5</v>
      </c>
      <c r="B9" s="57" t="s">
        <v>156</v>
      </c>
      <c r="C9" s="13" t="s">
        <v>222</v>
      </c>
      <c r="D9" s="11" t="s">
        <v>157</v>
      </c>
      <c r="E9" s="12">
        <v>39814</v>
      </c>
      <c r="F9" s="17" t="s">
        <v>218</v>
      </c>
      <c r="G9" s="15">
        <v>1571208.11</v>
      </c>
    </row>
    <row r="10" spans="1:7" ht="31.5" x14ac:dyDescent="0.2">
      <c r="A10" s="16">
        <f t="shared" si="0"/>
        <v>6</v>
      </c>
      <c r="B10" s="57" t="s">
        <v>158</v>
      </c>
      <c r="C10" s="13" t="s">
        <v>222</v>
      </c>
      <c r="D10" s="11" t="s">
        <v>159</v>
      </c>
      <c r="E10" s="12">
        <v>39814</v>
      </c>
      <c r="F10" s="17" t="s">
        <v>415</v>
      </c>
      <c r="G10" s="15">
        <v>107980137.56999999</v>
      </c>
    </row>
    <row r="11" spans="1:7" ht="38.25" x14ac:dyDescent="0.2">
      <c r="A11" s="16">
        <f t="shared" si="0"/>
        <v>7</v>
      </c>
      <c r="B11" s="57" t="s">
        <v>18</v>
      </c>
      <c r="C11" s="13" t="s">
        <v>222</v>
      </c>
      <c r="D11" s="11" t="s">
        <v>19</v>
      </c>
      <c r="E11" s="12">
        <v>39814</v>
      </c>
      <c r="F11" s="14" t="s">
        <v>199</v>
      </c>
      <c r="G11" s="15">
        <v>1489912.81</v>
      </c>
    </row>
    <row r="12" spans="1:7" ht="31.5" x14ac:dyDescent="0.2">
      <c r="A12" s="16">
        <f t="shared" si="0"/>
        <v>8</v>
      </c>
      <c r="B12" s="57" t="s">
        <v>150</v>
      </c>
      <c r="C12" s="13" t="s">
        <v>222</v>
      </c>
      <c r="D12" s="11" t="s">
        <v>151</v>
      </c>
      <c r="E12" s="12">
        <v>39814</v>
      </c>
      <c r="F12" s="17" t="s">
        <v>218</v>
      </c>
      <c r="G12" s="15">
        <v>280771.15000000002</v>
      </c>
    </row>
    <row r="13" spans="1:7" ht="38.25" x14ac:dyDescent="0.2">
      <c r="A13" s="16">
        <f t="shared" si="0"/>
        <v>9</v>
      </c>
      <c r="B13" s="58" t="s">
        <v>304</v>
      </c>
      <c r="C13" s="13" t="s">
        <v>222</v>
      </c>
      <c r="D13" s="11" t="s">
        <v>191</v>
      </c>
      <c r="E13" s="12">
        <v>43466</v>
      </c>
      <c r="F13" s="14" t="s">
        <v>206</v>
      </c>
      <c r="G13" s="15">
        <v>1039205</v>
      </c>
    </row>
    <row r="14" spans="1:7" ht="38.25" x14ac:dyDescent="0.2">
      <c r="A14" s="16">
        <f t="shared" si="0"/>
        <v>10</v>
      </c>
      <c r="B14" s="58" t="s">
        <v>52</v>
      </c>
      <c r="C14" s="13" t="s">
        <v>222</v>
      </c>
      <c r="D14" s="11" t="s">
        <v>53</v>
      </c>
      <c r="E14" s="12">
        <v>39814</v>
      </c>
      <c r="F14" s="14" t="s">
        <v>199</v>
      </c>
      <c r="G14" s="15">
        <v>5931667.4500000002</v>
      </c>
    </row>
    <row r="15" spans="1:7" ht="38.25" x14ac:dyDescent="0.2">
      <c r="A15" s="16">
        <f t="shared" si="0"/>
        <v>11</v>
      </c>
      <c r="B15" s="58" t="s">
        <v>52</v>
      </c>
      <c r="C15" s="13" t="s">
        <v>222</v>
      </c>
      <c r="D15" s="11" t="s">
        <v>382</v>
      </c>
      <c r="E15" s="12">
        <v>45170</v>
      </c>
      <c r="F15" s="14" t="s">
        <v>199</v>
      </c>
      <c r="G15" s="15">
        <v>531692.1</v>
      </c>
    </row>
    <row r="16" spans="1:7" ht="38.25" x14ac:dyDescent="0.2">
      <c r="A16" s="16">
        <f t="shared" si="0"/>
        <v>12</v>
      </c>
      <c r="B16" s="9" t="s">
        <v>335</v>
      </c>
      <c r="C16" s="13" t="s">
        <v>222</v>
      </c>
      <c r="D16" s="11" t="s">
        <v>336</v>
      </c>
      <c r="E16" s="12">
        <v>44197</v>
      </c>
      <c r="F16" s="14" t="s">
        <v>207</v>
      </c>
      <c r="G16" s="15">
        <v>14141.46</v>
      </c>
    </row>
    <row r="17" spans="1:7" ht="38.25" x14ac:dyDescent="0.2">
      <c r="A17" s="16">
        <f t="shared" si="0"/>
        <v>13</v>
      </c>
      <c r="B17" s="58" t="s">
        <v>383</v>
      </c>
      <c r="C17" s="13" t="s">
        <v>222</v>
      </c>
      <c r="D17" s="11" t="s">
        <v>58</v>
      </c>
      <c r="E17" s="12">
        <v>42309</v>
      </c>
      <c r="F17" s="14" t="s">
        <v>199</v>
      </c>
      <c r="G17" s="15">
        <v>340208.73</v>
      </c>
    </row>
    <row r="18" spans="1:7" ht="38.25" x14ac:dyDescent="0.2">
      <c r="A18" s="16">
        <f t="shared" si="0"/>
        <v>14</v>
      </c>
      <c r="B18" s="57" t="s">
        <v>69</v>
      </c>
      <c r="C18" s="13" t="s">
        <v>222</v>
      </c>
      <c r="D18" s="19" t="s">
        <v>339</v>
      </c>
      <c r="E18" s="12">
        <v>43891</v>
      </c>
      <c r="F18" s="14" t="s">
        <v>207</v>
      </c>
      <c r="G18" s="15">
        <v>5660026.5199999996</v>
      </c>
    </row>
    <row r="19" spans="1:7" ht="38.25" x14ac:dyDescent="0.2">
      <c r="A19" s="16">
        <f t="shared" si="0"/>
        <v>15</v>
      </c>
      <c r="B19" s="57" t="s">
        <v>214</v>
      </c>
      <c r="C19" s="13" t="s">
        <v>222</v>
      </c>
      <c r="D19" s="12" t="s">
        <v>70</v>
      </c>
      <c r="E19" s="12">
        <v>39814</v>
      </c>
      <c r="F19" s="14" t="s">
        <v>207</v>
      </c>
      <c r="G19" s="15">
        <v>8309907.1799999997</v>
      </c>
    </row>
    <row r="20" spans="1:7" ht="38.25" x14ac:dyDescent="0.2">
      <c r="A20" s="16">
        <f t="shared" si="0"/>
        <v>16</v>
      </c>
      <c r="B20" s="57" t="s">
        <v>104</v>
      </c>
      <c r="C20" s="13" t="s">
        <v>222</v>
      </c>
      <c r="D20" s="11" t="s">
        <v>105</v>
      </c>
      <c r="E20" s="12">
        <v>42856</v>
      </c>
      <c r="F20" s="14" t="s">
        <v>199</v>
      </c>
      <c r="G20" s="15">
        <v>432618.23999999999</v>
      </c>
    </row>
    <row r="21" spans="1:7" ht="38.25" x14ac:dyDescent="0.2">
      <c r="A21" s="16">
        <f t="shared" si="0"/>
        <v>17</v>
      </c>
      <c r="B21" s="57" t="s">
        <v>104</v>
      </c>
      <c r="C21" s="13" t="s">
        <v>222</v>
      </c>
      <c r="D21" s="11" t="s">
        <v>106</v>
      </c>
      <c r="E21" s="12">
        <v>40725</v>
      </c>
      <c r="F21" s="14" t="s">
        <v>207</v>
      </c>
      <c r="G21" s="15">
        <v>80661.279999999999</v>
      </c>
    </row>
    <row r="22" spans="1:7" ht="38.25" x14ac:dyDescent="0.2">
      <c r="A22" s="16">
        <f t="shared" si="0"/>
        <v>18</v>
      </c>
      <c r="B22" s="57" t="s">
        <v>478</v>
      </c>
      <c r="C22" s="13" t="s">
        <v>222</v>
      </c>
      <c r="D22" s="11" t="s">
        <v>315</v>
      </c>
      <c r="E22" s="12">
        <v>44146</v>
      </c>
      <c r="F22" s="14" t="s">
        <v>207</v>
      </c>
      <c r="G22" s="15">
        <v>47770.799999999996</v>
      </c>
    </row>
    <row r="23" spans="1:7" ht="31.5" x14ac:dyDescent="0.2">
      <c r="A23" s="16">
        <f t="shared" si="0"/>
        <v>19</v>
      </c>
      <c r="B23" s="57" t="s">
        <v>160</v>
      </c>
      <c r="C23" s="13" t="s">
        <v>222</v>
      </c>
      <c r="D23" s="11" t="s">
        <v>161</v>
      </c>
      <c r="E23" s="12">
        <v>39814</v>
      </c>
      <c r="F23" s="17" t="s">
        <v>218</v>
      </c>
      <c r="G23" s="15">
        <v>10779245.970000001</v>
      </c>
    </row>
    <row r="24" spans="1:7" ht="38.25" x14ac:dyDescent="0.2">
      <c r="A24" s="16">
        <f t="shared" si="0"/>
        <v>20</v>
      </c>
      <c r="B24" s="57" t="s">
        <v>164</v>
      </c>
      <c r="C24" s="13" t="s">
        <v>222</v>
      </c>
      <c r="D24" s="11" t="s">
        <v>165</v>
      </c>
      <c r="E24" s="12">
        <v>43252</v>
      </c>
      <c r="F24" s="14" t="s">
        <v>207</v>
      </c>
      <c r="G24" s="15">
        <v>41586.86</v>
      </c>
    </row>
    <row r="25" spans="1:7" ht="38.25" x14ac:dyDescent="0.2">
      <c r="A25" s="16">
        <f t="shared" si="0"/>
        <v>21</v>
      </c>
      <c r="B25" s="58" t="s">
        <v>176</v>
      </c>
      <c r="C25" s="13" t="s">
        <v>222</v>
      </c>
      <c r="D25" s="11" t="s">
        <v>177</v>
      </c>
      <c r="E25" s="12">
        <v>43374</v>
      </c>
      <c r="F25" s="14" t="s">
        <v>199</v>
      </c>
      <c r="G25" s="15">
        <v>19166.330000000002</v>
      </c>
    </row>
    <row r="26" spans="1:7" ht="38.25" x14ac:dyDescent="0.2">
      <c r="A26" s="16">
        <f t="shared" si="0"/>
        <v>22</v>
      </c>
      <c r="B26" s="58" t="s">
        <v>85</v>
      </c>
      <c r="C26" s="13" t="s">
        <v>222</v>
      </c>
      <c r="D26" s="9" t="s">
        <v>227</v>
      </c>
      <c r="E26" s="10">
        <v>43128</v>
      </c>
      <c r="F26" s="14" t="s">
        <v>199</v>
      </c>
      <c r="G26" s="15">
        <v>708747.35</v>
      </c>
    </row>
    <row r="27" spans="1:7" ht="38.25" x14ac:dyDescent="0.2">
      <c r="A27" s="16">
        <f t="shared" si="0"/>
        <v>23</v>
      </c>
      <c r="B27" s="58" t="s">
        <v>113</v>
      </c>
      <c r="C27" s="13" t="s">
        <v>222</v>
      </c>
      <c r="D27" s="11" t="s">
        <v>3</v>
      </c>
      <c r="E27" s="12">
        <v>42921</v>
      </c>
      <c r="F27" s="14" t="s">
        <v>199</v>
      </c>
      <c r="G27" s="15">
        <v>15278</v>
      </c>
    </row>
    <row r="28" spans="1:7" ht="38.25" x14ac:dyDescent="0.2">
      <c r="A28" s="16">
        <f t="shared" si="0"/>
        <v>24</v>
      </c>
      <c r="B28" s="58" t="s">
        <v>128</v>
      </c>
      <c r="C28" s="13" t="s">
        <v>222</v>
      </c>
      <c r="D28" s="11" t="s">
        <v>129</v>
      </c>
      <c r="E28" s="12">
        <v>42767</v>
      </c>
      <c r="F28" s="14" t="s">
        <v>199</v>
      </c>
      <c r="G28" s="15">
        <v>47090.3</v>
      </c>
    </row>
    <row r="29" spans="1:7" ht="38.25" x14ac:dyDescent="0.2">
      <c r="A29" s="16">
        <f t="shared" si="0"/>
        <v>25</v>
      </c>
      <c r="B29" s="58" t="s">
        <v>120</v>
      </c>
      <c r="C29" s="13" t="s">
        <v>222</v>
      </c>
      <c r="D29" s="9" t="s">
        <v>297</v>
      </c>
      <c r="E29" s="10">
        <v>43313</v>
      </c>
      <c r="F29" s="14" t="s">
        <v>199</v>
      </c>
      <c r="G29" s="15">
        <v>17622.98</v>
      </c>
    </row>
    <row r="30" spans="1:7" ht="38.25" x14ac:dyDescent="0.2">
      <c r="A30" s="16">
        <f t="shared" si="0"/>
        <v>26</v>
      </c>
      <c r="B30" s="58" t="s">
        <v>190</v>
      </c>
      <c r="C30" s="13" t="s">
        <v>222</v>
      </c>
      <c r="D30" s="9" t="s">
        <v>299</v>
      </c>
      <c r="E30" s="10">
        <v>43466</v>
      </c>
      <c r="F30" s="14" t="s">
        <v>199</v>
      </c>
      <c r="G30" s="15">
        <v>103680.02</v>
      </c>
    </row>
    <row r="31" spans="1:7" ht="38.25" x14ac:dyDescent="0.2">
      <c r="A31" s="16">
        <f t="shared" si="0"/>
        <v>27</v>
      </c>
      <c r="B31" s="58" t="s">
        <v>147</v>
      </c>
      <c r="C31" s="13" t="s">
        <v>222</v>
      </c>
      <c r="D31" s="11" t="s">
        <v>23</v>
      </c>
      <c r="E31" s="12">
        <v>40680</v>
      </c>
      <c r="F31" s="14" t="s">
        <v>199</v>
      </c>
      <c r="G31" s="15">
        <v>526643.31000000006</v>
      </c>
    </row>
    <row r="32" spans="1:7" ht="38.25" x14ac:dyDescent="0.2">
      <c r="A32" s="16">
        <f t="shared" si="0"/>
        <v>28</v>
      </c>
      <c r="B32" s="58" t="s">
        <v>61</v>
      </c>
      <c r="C32" s="13" t="s">
        <v>222</v>
      </c>
      <c r="D32" s="11" t="s">
        <v>62</v>
      </c>
      <c r="E32" s="12">
        <v>42887</v>
      </c>
      <c r="F32" s="14" t="s">
        <v>199</v>
      </c>
      <c r="G32" s="15">
        <v>89383.039999999994</v>
      </c>
    </row>
    <row r="33" spans="1:7" ht="38.25" x14ac:dyDescent="0.2">
      <c r="A33" s="16">
        <f t="shared" si="0"/>
        <v>29</v>
      </c>
      <c r="B33" s="58" t="s">
        <v>365</v>
      </c>
      <c r="C33" s="13" t="s">
        <v>222</v>
      </c>
      <c r="D33" s="9" t="s">
        <v>366</v>
      </c>
      <c r="E33" s="10">
        <v>45444</v>
      </c>
      <c r="F33" s="14" t="s">
        <v>207</v>
      </c>
      <c r="G33" s="15">
        <v>684005.81</v>
      </c>
    </row>
    <row r="34" spans="1:7" ht="38.25" x14ac:dyDescent="0.2">
      <c r="A34" s="16">
        <f t="shared" si="0"/>
        <v>30</v>
      </c>
      <c r="B34" s="57" t="s">
        <v>215</v>
      </c>
      <c r="C34" s="13" t="s">
        <v>222</v>
      </c>
      <c r="D34" s="11" t="s">
        <v>216</v>
      </c>
      <c r="E34" s="12">
        <v>43647</v>
      </c>
      <c r="F34" s="14" t="s">
        <v>207</v>
      </c>
      <c r="G34" s="15">
        <v>216787.68</v>
      </c>
    </row>
    <row r="35" spans="1:7" ht="38.25" x14ac:dyDescent="0.2">
      <c r="A35" s="16">
        <f t="shared" si="0"/>
        <v>31</v>
      </c>
      <c r="B35" s="57" t="s">
        <v>211</v>
      </c>
      <c r="C35" s="13" t="s">
        <v>222</v>
      </c>
      <c r="D35" s="11" t="s">
        <v>225</v>
      </c>
      <c r="E35" s="12">
        <v>43617</v>
      </c>
      <c r="F35" s="30" t="s">
        <v>226</v>
      </c>
      <c r="G35" s="15">
        <v>782158.39</v>
      </c>
    </row>
    <row r="36" spans="1:7" ht="38.25" x14ac:dyDescent="0.2">
      <c r="A36" s="16">
        <f t="shared" si="0"/>
        <v>32</v>
      </c>
      <c r="B36" s="57" t="s">
        <v>487</v>
      </c>
      <c r="C36" s="13" t="s">
        <v>222</v>
      </c>
      <c r="D36" s="11" t="s">
        <v>381</v>
      </c>
      <c r="E36" s="12">
        <v>44498</v>
      </c>
      <c r="F36" s="14" t="s">
        <v>199</v>
      </c>
      <c r="G36" s="15">
        <v>39408387.100000001</v>
      </c>
    </row>
    <row r="37" spans="1:7" ht="38.25" x14ac:dyDescent="0.2">
      <c r="A37" s="16">
        <f t="shared" si="0"/>
        <v>33</v>
      </c>
      <c r="B37" s="57" t="s">
        <v>134</v>
      </c>
      <c r="C37" s="13" t="s">
        <v>222</v>
      </c>
      <c r="D37" s="11" t="s">
        <v>135</v>
      </c>
      <c r="E37" s="12">
        <v>42767</v>
      </c>
      <c r="F37" s="14" t="s">
        <v>199</v>
      </c>
      <c r="G37" s="15">
        <v>89359.12</v>
      </c>
    </row>
    <row r="38" spans="1:7" ht="38.25" x14ac:dyDescent="0.2">
      <c r="A38" s="16">
        <f t="shared" ref="A38:A69" si="1">A37+1</f>
        <v>34</v>
      </c>
      <c r="B38" s="58" t="s">
        <v>95</v>
      </c>
      <c r="C38" s="13" t="s">
        <v>222</v>
      </c>
      <c r="D38" s="9" t="s">
        <v>96</v>
      </c>
      <c r="E38" s="10">
        <v>43101</v>
      </c>
      <c r="F38" s="14" t="s">
        <v>199</v>
      </c>
      <c r="G38" s="15">
        <v>611001.49</v>
      </c>
    </row>
    <row r="39" spans="1:7" ht="31.5" x14ac:dyDescent="0.2">
      <c r="A39" s="16">
        <f t="shared" si="1"/>
        <v>35</v>
      </c>
      <c r="B39" s="58" t="s">
        <v>93</v>
      </c>
      <c r="C39" s="13" t="s">
        <v>222</v>
      </c>
      <c r="D39" s="9" t="s">
        <v>94</v>
      </c>
      <c r="E39" s="10">
        <v>43101</v>
      </c>
      <c r="F39" s="14" t="s">
        <v>200</v>
      </c>
      <c r="G39" s="15">
        <v>152828.14000000001</v>
      </c>
    </row>
    <row r="40" spans="1:7" ht="38.25" x14ac:dyDescent="0.2">
      <c r="A40" s="16">
        <f t="shared" si="1"/>
        <v>36</v>
      </c>
      <c r="B40" s="58" t="s">
        <v>99</v>
      </c>
      <c r="C40" s="13" t="s">
        <v>222</v>
      </c>
      <c r="D40" s="11" t="s">
        <v>100</v>
      </c>
      <c r="E40" s="12">
        <v>43009</v>
      </c>
      <c r="F40" s="14" t="s">
        <v>207</v>
      </c>
      <c r="G40" s="15">
        <v>657146.6</v>
      </c>
    </row>
    <row r="41" spans="1:7" ht="38.25" x14ac:dyDescent="0.2">
      <c r="A41" s="16">
        <f t="shared" si="1"/>
        <v>37</v>
      </c>
      <c r="B41" s="58" t="s">
        <v>72</v>
      </c>
      <c r="C41" s="13" t="s">
        <v>222</v>
      </c>
      <c r="D41" s="11" t="s">
        <v>103</v>
      </c>
      <c r="E41" s="12">
        <v>39814</v>
      </c>
      <c r="F41" s="14" t="s">
        <v>199</v>
      </c>
      <c r="G41" s="15">
        <v>665676.96</v>
      </c>
    </row>
    <row r="42" spans="1:7" ht="38.25" x14ac:dyDescent="0.2">
      <c r="A42" s="16">
        <f t="shared" si="1"/>
        <v>38</v>
      </c>
      <c r="B42" s="58" t="s">
        <v>168</v>
      </c>
      <c r="C42" s="13" t="s">
        <v>222</v>
      </c>
      <c r="D42" s="9" t="s">
        <v>169</v>
      </c>
      <c r="E42" s="10">
        <v>43297</v>
      </c>
      <c r="F42" s="14" t="s">
        <v>207</v>
      </c>
      <c r="G42" s="15">
        <v>168931.68</v>
      </c>
    </row>
    <row r="43" spans="1:7" ht="38.25" x14ac:dyDescent="0.2">
      <c r="A43" s="16">
        <f t="shared" si="1"/>
        <v>39</v>
      </c>
      <c r="B43" s="69" t="s">
        <v>145</v>
      </c>
      <c r="C43" s="13" t="s">
        <v>222</v>
      </c>
      <c r="D43" s="9" t="s">
        <v>146</v>
      </c>
      <c r="E43" s="10">
        <v>42826</v>
      </c>
      <c r="F43" s="14" t="s">
        <v>199</v>
      </c>
      <c r="G43" s="15">
        <v>1835839.91</v>
      </c>
    </row>
    <row r="44" spans="1:7" ht="38.25" x14ac:dyDescent="0.2">
      <c r="A44" s="16">
        <f t="shared" si="1"/>
        <v>40</v>
      </c>
      <c r="B44" s="57" t="s">
        <v>152</v>
      </c>
      <c r="C44" s="13" t="s">
        <v>222</v>
      </c>
      <c r="D44" s="9" t="s">
        <v>153</v>
      </c>
      <c r="E44" s="10">
        <v>39934</v>
      </c>
      <c r="F44" s="17" t="s">
        <v>217</v>
      </c>
      <c r="G44" s="15">
        <v>1937420.64</v>
      </c>
    </row>
    <row r="45" spans="1:7" ht="38.25" x14ac:dyDescent="0.2">
      <c r="A45" s="16">
        <f t="shared" si="1"/>
        <v>41</v>
      </c>
      <c r="B45" s="57" t="s">
        <v>312</v>
      </c>
      <c r="C45" s="13" t="s">
        <v>222</v>
      </c>
      <c r="D45" s="52" t="s">
        <v>437</v>
      </c>
      <c r="E45" s="55">
        <v>45505</v>
      </c>
      <c r="F45" s="14" t="s">
        <v>207</v>
      </c>
      <c r="G45" s="15">
        <v>32757.43</v>
      </c>
    </row>
    <row r="46" spans="1:7" ht="38.25" x14ac:dyDescent="0.2">
      <c r="A46" s="16">
        <f t="shared" si="1"/>
        <v>42</v>
      </c>
      <c r="B46" s="58" t="s">
        <v>86</v>
      </c>
      <c r="C46" s="13" t="s">
        <v>222</v>
      </c>
      <c r="D46" s="9" t="s">
        <v>92</v>
      </c>
      <c r="E46" s="10">
        <v>39814</v>
      </c>
      <c r="F46" s="14" t="s">
        <v>207</v>
      </c>
      <c r="G46" s="15">
        <v>848295.45</v>
      </c>
    </row>
    <row r="47" spans="1:7" ht="38.25" x14ac:dyDescent="0.2">
      <c r="A47" s="16">
        <f t="shared" si="1"/>
        <v>43</v>
      </c>
      <c r="B47" s="58" t="s">
        <v>367</v>
      </c>
      <c r="C47" s="13" t="s">
        <v>222</v>
      </c>
      <c r="D47" s="9" t="s">
        <v>368</v>
      </c>
      <c r="E47" s="10">
        <v>45444</v>
      </c>
      <c r="F47" s="14" t="s">
        <v>207</v>
      </c>
      <c r="G47" s="15">
        <v>1311924.3799999999</v>
      </c>
    </row>
    <row r="48" spans="1:7" ht="38.25" x14ac:dyDescent="0.2">
      <c r="A48" s="16">
        <f t="shared" si="1"/>
        <v>44</v>
      </c>
      <c r="B48" s="58" t="s">
        <v>124</v>
      </c>
      <c r="C48" s="13" t="s">
        <v>222</v>
      </c>
      <c r="D48" s="9" t="s">
        <v>125</v>
      </c>
      <c r="E48" s="10">
        <v>42767</v>
      </c>
      <c r="F48" s="14" t="s">
        <v>199</v>
      </c>
      <c r="G48" s="15">
        <v>69498.87</v>
      </c>
    </row>
    <row r="49" spans="1:7" ht="38.25" x14ac:dyDescent="0.2">
      <c r="A49" s="16">
        <f t="shared" si="1"/>
        <v>45</v>
      </c>
      <c r="B49" s="57" t="s">
        <v>87</v>
      </c>
      <c r="C49" s="13" t="s">
        <v>222</v>
      </c>
      <c r="D49" s="11" t="s">
        <v>90</v>
      </c>
      <c r="E49" s="10">
        <v>39814</v>
      </c>
      <c r="F49" s="14" t="s">
        <v>199</v>
      </c>
      <c r="G49" s="15">
        <v>3900491.32</v>
      </c>
    </row>
    <row r="50" spans="1:7" ht="38.25" x14ac:dyDescent="0.2">
      <c r="A50" s="16">
        <f t="shared" si="1"/>
        <v>46</v>
      </c>
      <c r="B50" s="71" t="s">
        <v>88</v>
      </c>
      <c r="C50" s="13" t="s">
        <v>222</v>
      </c>
      <c r="D50" s="9" t="s">
        <v>91</v>
      </c>
      <c r="E50" s="10">
        <v>42401</v>
      </c>
      <c r="F50" s="14" t="s">
        <v>199</v>
      </c>
      <c r="G50" s="15">
        <v>45834.080000000002</v>
      </c>
    </row>
    <row r="51" spans="1:7" ht="38.25" x14ac:dyDescent="0.2">
      <c r="A51" s="16">
        <f t="shared" si="1"/>
        <v>47</v>
      </c>
      <c r="B51" s="57" t="s">
        <v>89</v>
      </c>
      <c r="C51" s="13" t="s">
        <v>222</v>
      </c>
      <c r="D51" s="9" t="s">
        <v>111</v>
      </c>
      <c r="E51" s="10">
        <v>43160</v>
      </c>
      <c r="F51" s="14" t="s">
        <v>199</v>
      </c>
      <c r="G51" s="15">
        <v>64390.239999999998</v>
      </c>
    </row>
    <row r="52" spans="1:7" ht="38.25" x14ac:dyDescent="0.2">
      <c r="A52" s="16">
        <f t="shared" si="1"/>
        <v>48</v>
      </c>
      <c r="B52" s="57" t="s">
        <v>83</v>
      </c>
      <c r="C52" s="13" t="s">
        <v>222</v>
      </c>
      <c r="D52" s="11" t="s">
        <v>1</v>
      </c>
      <c r="E52" s="12">
        <v>42635</v>
      </c>
      <c r="F52" s="14" t="s">
        <v>199</v>
      </c>
      <c r="G52" s="15">
        <v>451042.8</v>
      </c>
    </row>
    <row r="53" spans="1:7" ht="38.25" x14ac:dyDescent="0.2">
      <c r="A53" s="16">
        <f t="shared" si="1"/>
        <v>49</v>
      </c>
      <c r="B53" s="57" t="s">
        <v>166</v>
      </c>
      <c r="C53" s="13" t="s">
        <v>222</v>
      </c>
      <c r="D53" s="11" t="s">
        <v>167</v>
      </c>
      <c r="E53" s="12">
        <v>43221</v>
      </c>
      <c r="F53" s="14" t="s">
        <v>199</v>
      </c>
      <c r="G53" s="15">
        <v>208754.86</v>
      </c>
    </row>
    <row r="54" spans="1:7" ht="38.25" x14ac:dyDescent="0.2">
      <c r="A54" s="16">
        <f t="shared" si="1"/>
        <v>50</v>
      </c>
      <c r="B54" s="58" t="s">
        <v>186</v>
      </c>
      <c r="C54" s="13" t="s">
        <v>222</v>
      </c>
      <c r="D54" s="11" t="s">
        <v>187</v>
      </c>
      <c r="E54" s="12">
        <v>43460</v>
      </c>
      <c r="F54" s="14" t="s">
        <v>199</v>
      </c>
      <c r="G54" s="15">
        <v>132812.37</v>
      </c>
    </row>
    <row r="55" spans="1:7" ht="38.25" x14ac:dyDescent="0.2">
      <c r="A55" s="16">
        <f t="shared" si="1"/>
        <v>51</v>
      </c>
      <c r="B55" s="57" t="s">
        <v>300</v>
      </c>
      <c r="C55" s="13" t="s">
        <v>222</v>
      </c>
      <c r="D55" s="11" t="s">
        <v>301</v>
      </c>
      <c r="E55" s="12">
        <v>43466</v>
      </c>
      <c r="F55" s="14" t="s">
        <v>207</v>
      </c>
      <c r="G55" s="15">
        <v>12163631.300000001</v>
      </c>
    </row>
    <row r="56" spans="1:7" ht="38.25" x14ac:dyDescent="0.2">
      <c r="A56" s="16">
        <f t="shared" si="1"/>
        <v>52</v>
      </c>
      <c r="B56" s="58" t="s">
        <v>84</v>
      </c>
      <c r="C56" s="13" t="s">
        <v>222</v>
      </c>
      <c r="D56" s="11" t="s">
        <v>4</v>
      </c>
      <c r="E56" s="12">
        <v>42621</v>
      </c>
      <c r="F56" s="14" t="s">
        <v>207</v>
      </c>
      <c r="G56" s="15">
        <v>129486.37</v>
      </c>
    </row>
    <row r="57" spans="1:7" ht="38.25" x14ac:dyDescent="0.2">
      <c r="A57" s="16">
        <f t="shared" si="1"/>
        <v>53</v>
      </c>
      <c r="B57" s="58" t="s">
        <v>121</v>
      </c>
      <c r="C57" s="13" t="s">
        <v>222</v>
      </c>
      <c r="D57" s="11" t="s">
        <v>122</v>
      </c>
      <c r="E57" s="12">
        <v>42948</v>
      </c>
      <c r="F57" s="14" t="s">
        <v>207</v>
      </c>
      <c r="G57" s="15">
        <v>727136.2</v>
      </c>
    </row>
    <row r="58" spans="1:7" ht="38.25" x14ac:dyDescent="0.2">
      <c r="A58" s="16">
        <f t="shared" si="1"/>
        <v>54</v>
      </c>
      <c r="B58" s="58" t="s">
        <v>316</v>
      </c>
      <c r="C58" s="13" t="s">
        <v>222</v>
      </c>
      <c r="D58" s="9" t="s">
        <v>317</v>
      </c>
      <c r="E58" s="10">
        <v>43770</v>
      </c>
      <c r="F58" s="14" t="s">
        <v>207</v>
      </c>
      <c r="G58" s="15">
        <v>71784</v>
      </c>
    </row>
    <row r="59" spans="1:7" ht="38.25" x14ac:dyDescent="0.2">
      <c r="A59" s="16">
        <f t="shared" si="1"/>
        <v>55</v>
      </c>
      <c r="B59" s="58" t="s">
        <v>504</v>
      </c>
      <c r="C59" s="13" t="s">
        <v>222</v>
      </c>
      <c r="D59" s="9" t="s">
        <v>384</v>
      </c>
      <c r="E59" s="12">
        <v>44287</v>
      </c>
      <c r="F59" s="14" t="s">
        <v>207</v>
      </c>
      <c r="G59" s="15">
        <v>6328.95</v>
      </c>
    </row>
    <row r="60" spans="1:7" ht="38.25" x14ac:dyDescent="0.2">
      <c r="A60" s="16">
        <f t="shared" si="1"/>
        <v>56</v>
      </c>
      <c r="B60" s="19" t="s">
        <v>197</v>
      </c>
      <c r="C60" s="13" t="s">
        <v>222</v>
      </c>
      <c r="D60" s="11" t="s">
        <v>198</v>
      </c>
      <c r="E60" s="12">
        <v>43497</v>
      </c>
      <c r="F60" s="14" t="s">
        <v>203</v>
      </c>
      <c r="G60" s="15">
        <v>1365726.49</v>
      </c>
    </row>
    <row r="61" spans="1:7" ht="38.25" x14ac:dyDescent="0.2">
      <c r="A61" s="16">
        <f t="shared" si="1"/>
        <v>57</v>
      </c>
      <c r="B61" s="58" t="s">
        <v>6</v>
      </c>
      <c r="C61" s="13" t="s">
        <v>222</v>
      </c>
      <c r="D61" s="11" t="s">
        <v>5</v>
      </c>
      <c r="E61" s="12">
        <v>41548</v>
      </c>
      <c r="F61" s="14" t="s">
        <v>199</v>
      </c>
      <c r="G61" s="15">
        <v>3329365.85</v>
      </c>
    </row>
    <row r="62" spans="1:7" ht="38.25" x14ac:dyDescent="0.2">
      <c r="A62" s="16">
        <f t="shared" si="1"/>
        <v>58</v>
      </c>
      <c r="B62" s="58" t="s">
        <v>114</v>
      </c>
      <c r="C62" s="13" t="s">
        <v>222</v>
      </c>
      <c r="D62" s="11" t="s">
        <v>115</v>
      </c>
      <c r="E62" s="12">
        <v>43191</v>
      </c>
      <c r="F62" s="14" t="s">
        <v>207</v>
      </c>
      <c r="G62" s="15">
        <v>29072</v>
      </c>
    </row>
    <row r="63" spans="1:7" ht="38.25" x14ac:dyDescent="0.2">
      <c r="A63" s="16">
        <f t="shared" si="1"/>
        <v>59</v>
      </c>
      <c r="B63" s="58" t="s">
        <v>79</v>
      </c>
      <c r="C63" s="13" t="s">
        <v>222</v>
      </c>
      <c r="D63" s="11" t="s">
        <v>7</v>
      </c>
      <c r="E63" s="12">
        <v>42856</v>
      </c>
      <c r="F63" s="14" t="s">
        <v>199</v>
      </c>
      <c r="G63" s="15">
        <v>976788.81</v>
      </c>
    </row>
    <row r="64" spans="1:7" ht="38.25" x14ac:dyDescent="0.2">
      <c r="A64" s="16">
        <f t="shared" si="1"/>
        <v>60</v>
      </c>
      <c r="B64" s="58" t="s">
        <v>385</v>
      </c>
      <c r="C64" s="13" t="s">
        <v>222</v>
      </c>
      <c r="D64" s="11" t="s">
        <v>386</v>
      </c>
      <c r="E64" s="12">
        <v>45049</v>
      </c>
      <c r="F64" s="14" t="s">
        <v>199</v>
      </c>
      <c r="G64" s="15">
        <v>1464297.89</v>
      </c>
    </row>
    <row r="65" spans="1:7" ht="38.25" x14ac:dyDescent="0.2">
      <c r="A65" s="16">
        <f t="shared" si="1"/>
        <v>61</v>
      </c>
      <c r="B65" s="58" t="s">
        <v>387</v>
      </c>
      <c r="C65" s="13" t="s">
        <v>222</v>
      </c>
      <c r="D65" s="11" t="s">
        <v>388</v>
      </c>
      <c r="E65" s="49" t="s">
        <v>389</v>
      </c>
      <c r="F65" s="14" t="s">
        <v>207</v>
      </c>
      <c r="G65" s="15">
        <v>1232.29</v>
      </c>
    </row>
    <row r="66" spans="1:7" ht="38.25" x14ac:dyDescent="0.2">
      <c r="A66" s="16">
        <f t="shared" si="1"/>
        <v>62</v>
      </c>
      <c r="B66" s="58" t="s">
        <v>80</v>
      </c>
      <c r="C66" s="13" t="s">
        <v>222</v>
      </c>
      <c r="D66" s="11" t="s">
        <v>116</v>
      </c>
      <c r="E66" s="12">
        <v>42217</v>
      </c>
      <c r="F66" s="14" t="s">
        <v>207</v>
      </c>
      <c r="G66" s="15">
        <v>305082.55</v>
      </c>
    </row>
    <row r="67" spans="1:7" ht="38.25" x14ac:dyDescent="0.2">
      <c r="A67" s="16">
        <f t="shared" si="1"/>
        <v>63</v>
      </c>
      <c r="B67" s="58" t="s">
        <v>9</v>
      </c>
      <c r="C67" s="13" t="s">
        <v>222</v>
      </c>
      <c r="D67" s="11" t="s">
        <v>10</v>
      </c>
      <c r="E67" s="12">
        <v>43132</v>
      </c>
      <c r="F67" s="14" t="s">
        <v>199</v>
      </c>
      <c r="G67" s="15">
        <v>691352.4</v>
      </c>
    </row>
    <row r="68" spans="1:7" ht="38.25" x14ac:dyDescent="0.2">
      <c r="A68" s="16">
        <f t="shared" si="1"/>
        <v>64</v>
      </c>
      <c r="B68" s="57" t="s">
        <v>81</v>
      </c>
      <c r="C68" s="13" t="s">
        <v>222</v>
      </c>
      <c r="D68" s="11" t="s">
        <v>8</v>
      </c>
      <c r="E68" s="12">
        <v>39814</v>
      </c>
      <c r="F68" s="14" t="s">
        <v>199</v>
      </c>
      <c r="G68" s="15">
        <v>50033.46</v>
      </c>
    </row>
    <row r="69" spans="1:7" ht="38.25" x14ac:dyDescent="0.2">
      <c r="A69" s="16">
        <f t="shared" si="1"/>
        <v>65</v>
      </c>
      <c r="B69" s="58" t="s">
        <v>101</v>
      </c>
      <c r="C69" s="13" t="s">
        <v>222</v>
      </c>
      <c r="D69" s="11" t="s">
        <v>102</v>
      </c>
      <c r="E69" s="12">
        <v>39814</v>
      </c>
      <c r="F69" s="14" t="s">
        <v>199</v>
      </c>
      <c r="G69" s="15">
        <v>482053.48</v>
      </c>
    </row>
    <row r="70" spans="1:7" ht="38.25" x14ac:dyDescent="0.2">
      <c r="A70" s="16">
        <f t="shared" ref="A70:A101" si="2">A69+1</f>
        <v>66</v>
      </c>
      <c r="B70" s="57" t="s">
        <v>132</v>
      </c>
      <c r="C70" s="13" t="s">
        <v>222</v>
      </c>
      <c r="D70" s="11" t="s">
        <v>133</v>
      </c>
      <c r="E70" s="12">
        <v>42767</v>
      </c>
      <c r="F70" s="14" t="s">
        <v>199</v>
      </c>
      <c r="G70" s="15">
        <v>84944.4</v>
      </c>
    </row>
    <row r="71" spans="1:7" ht="38.25" x14ac:dyDescent="0.2">
      <c r="A71" s="16">
        <f t="shared" si="2"/>
        <v>67</v>
      </c>
      <c r="B71" s="57" t="s">
        <v>188</v>
      </c>
      <c r="C71" s="13" t="s">
        <v>222</v>
      </c>
      <c r="D71" s="11" t="s">
        <v>189</v>
      </c>
      <c r="E71" s="12">
        <v>43383</v>
      </c>
      <c r="F71" s="14" t="s">
        <v>199</v>
      </c>
      <c r="G71" s="15">
        <v>675164.42</v>
      </c>
    </row>
    <row r="72" spans="1:7" ht="38.25" x14ac:dyDescent="0.2">
      <c r="A72" s="16">
        <f t="shared" si="2"/>
        <v>68</v>
      </c>
      <c r="B72" s="57" t="s">
        <v>184</v>
      </c>
      <c r="C72" s="13" t="s">
        <v>222</v>
      </c>
      <c r="D72" s="11" t="s">
        <v>185</v>
      </c>
      <c r="E72" s="12">
        <v>43160</v>
      </c>
      <c r="F72" s="14" t="s">
        <v>207</v>
      </c>
      <c r="G72" s="15">
        <v>1178035.26</v>
      </c>
    </row>
    <row r="73" spans="1:7" ht="38.25" x14ac:dyDescent="0.2">
      <c r="A73" s="16">
        <f t="shared" si="2"/>
        <v>69</v>
      </c>
      <c r="B73" s="58" t="s">
        <v>318</v>
      </c>
      <c r="C73" s="13" t="s">
        <v>222</v>
      </c>
      <c r="D73" s="9" t="s">
        <v>319</v>
      </c>
      <c r="E73" s="10">
        <v>43405</v>
      </c>
      <c r="F73" s="14" t="s">
        <v>207</v>
      </c>
      <c r="G73" s="15">
        <v>70743</v>
      </c>
    </row>
    <row r="74" spans="1:7" ht="38.25" x14ac:dyDescent="0.2">
      <c r="A74" s="16">
        <f t="shared" si="2"/>
        <v>70</v>
      </c>
      <c r="B74" s="58" t="s">
        <v>194</v>
      </c>
      <c r="C74" s="13" t="s">
        <v>222</v>
      </c>
      <c r="D74" s="9" t="s">
        <v>195</v>
      </c>
      <c r="E74" s="10">
        <v>43516</v>
      </c>
      <c r="F74" s="14" t="s">
        <v>207</v>
      </c>
      <c r="G74" s="15">
        <v>307079.99</v>
      </c>
    </row>
    <row r="75" spans="1:7" ht="38.25" x14ac:dyDescent="0.2">
      <c r="A75" s="16">
        <f t="shared" si="2"/>
        <v>71</v>
      </c>
      <c r="B75" s="58" t="s">
        <v>179</v>
      </c>
      <c r="C75" s="13" t="s">
        <v>222</v>
      </c>
      <c r="D75" s="9" t="s">
        <v>180</v>
      </c>
      <c r="E75" s="10">
        <v>43374</v>
      </c>
      <c r="F75" s="14" t="s">
        <v>207</v>
      </c>
      <c r="G75" s="15">
        <v>1555787</v>
      </c>
    </row>
    <row r="76" spans="1:7" ht="38.25" x14ac:dyDescent="0.2">
      <c r="A76" s="16">
        <f t="shared" si="2"/>
        <v>72</v>
      </c>
      <c r="B76" s="58" t="s">
        <v>82</v>
      </c>
      <c r="C76" s="13" t="s">
        <v>222</v>
      </c>
      <c r="D76" s="9" t="s">
        <v>117</v>
      </c>
      <c r="E76" s="10">
        <v>42433</v>
      </c>
      <c r="F76" s="14" t="s">
        <v>199</v>
      </c>
      <c r="G76" s="15">
        <v>100355</v>
      </c>
    </row>
    <row r="77" spans="1:7" ht="38.25" x14ac:dyDescent="0.2">
      <c r="A77" s="16">
        <f t="shared" si="2"/>
        <v>73</v>
      </c>
      <c r="B77" s="57" t="s">
        <v>42</v>
      </c>
      <c r="C77" s="13" t="s">
        <v>222</v>
      </c>
      <c r="D77" s="9" t="s">
        <v>43</v>
      </c>
      <c r="E77" s="10">
        <v>41730</v>
      </c>
      <c r="F77" s="14" t="s">
        <v>199</v>
      </c>
      <c r="G77" s="15">
        <v>1212635.1499999999</v>
      </c>
    </row>
    <row r="78" spans="1:7" ht="38.25" x14ac:dyDescent="0.2">
      <c r="A78" s="16">
        <f t="shared" si="2"/>
        <v>74</v>
      </c>
      <c r="B78" s="58" t="s">
        <v>212</v>
      </c>
      <c r="C78" s="13" t="s">
        <v>222</v>
      </c>
      <c r="D78" s="9" t="s">
        <v>213</v>
      </c>
      <c r="E78" s="10">
        <v>43668</v>
      </c>
      <c r="F78" s="14" t="s">
        <v>207</v>
      </c>
      <c r="G78" s="15">
        <v>34934.879999999997</v>
      </c>
    </row>
    <row r="79" spans="1:7" ht="38.25" x14ac:dyDescent="0.2">
      <c r="A79" s="16">
        <f t="shared" si="2"/>
        <v>75</v>
      </c>
      <c r="B79" s="58" t="s">
        <v>390</v>
      </c>
      <c r="C79" s="13" t="s">
        <v>222</v>
      </c>
      <c r="D79" s="9" t="s">
        <v>391</v>
      </c>
      <c r="E79" s="10">
        <v>45113</v>
      </c>
      <c r="F79" s="14" t="s">
        <v>207</v>
      </c>
      <c r="G79" s="15">
        <v>1161608.69</v>
      </c>
    </row>
    <row r="80" spans="1:7" ht="38.25" x14ac:dyDescent="0.2">
      <c r="A80" s="16">
        <f t="shared" si="2"/>
        <v>76</v>
      </c>
      <c r="B80" s="58" t="s">
        <v>320</v>
      </c>
      <c r="C80" s="13" t="s">
        <v>222</v>
      </c>
      <c r="D80" s="9" t="s">
        <v>321</v>
      </c>
      <c r="E80" s="10">
        <v>43983</v>
      </c>
      <c r="F80" s="14" t="s">
        <v>207</v>
      </c>
      <c r="G80" s="15">
        <v>28713</v>
      </c>
    </row>
    <row r="81" spans="1:7" ht="38.25" x14ac:dyDescent="0.2">
      <c r="A81" s="16">
        <f t="shared" si="2"/>
        <v>77</v>
      </c>
      <c r="B81" s="58" t="s">
        <v>143</v>
      </c>
      <c r="C81" s="13" t="s">
        <v>222</v>
      </c>
      <c r="D81" s="11" t="s">
        <v>144</v>
      </c>
      <c r="E81" s="12">
        <v>42826</v>
      </c>
      <c r="F81" s="14" t="s">
        <v>207</v>
      </c>
      <c r="G81" s="15">
        <v>9224</v>
      </c>
    </row>
    <row r="82" spans="1:7" ht="38.25" x14ac:dyDescent="0.2">
      <c r="A82" s="16">
        <f t="shared" si="2"/>
        <v>78</v>
      </c>
      <c r="B82" s="57" t="s">
        <v>172</v>
      </c>
      <c r="C82" s="13" t="s">
        <v>222</v>
      </c>
      <c r="D82" s="11" t="s">
        <v>173</v>
      </c>
      <c r="E82" s="12">
        <v>43344</v>
      </c>
      <c r="F82" s="14" t="s">
        <v>199</v>
      </c>
      <c r="G82" s="15">
        <v>6783.59</v>
      </c>
    </row>
    <row r="83" spans="1:7" ht="38.25" x14ac:dyDescent="0.2">
      <c r="A83" s="16">
        <f t="shared" si="2"/>
        <v>79</v>
      </c>
      <c r="B83" s="57" t="s">
        <v>208</v>
      </c>
      <c r="C83" s="13" t="s">
        <v>222</v>
      </c>
      <c r="D83" s="11" t="s">
        <v>209</v>
      </c>
      <c r="E83" s="12">
        <v>43536</v>
      </c>
      <c r="F83" s="14" t="s">
        <v>210</v>
      </c>
      <c r="G83" s="15">
        <v>150076.41</v>
      </c>
    </row>
    <row r="84" spans="1:7" ht="38.25" x14ac:dyDescent="0.2">
      <c r="A84" s="16">
        <f t="shared" si="2"/>
        <v>80</v>
      </c>
      <c r="B84" s="58" t="s">
        <v>322</v>
      </c>
      <c r="C84" s="13" t="s">
        <v>222</v>
      </c>
      <c r="D84" s="9" t="s">
        <v>323</v>
      </c>
      <c r="E84" s="10">
        <v>43983</v>
      </c>
      <c r="F84" s="14" t="s">
        <v>207</v>
      </c>
      <c r="G84" s="15">
        <v>30364.639999999999</v>
      </c>
    </row>
    <row r="85" spans="1:7" ht="38.25" x14ac:dyDescent="0.2">
      <c r="A85" s="16">
        <f t="shared" si="2"/>
        <v>81</v>
      </c>
      <c r="B85" s="58" t="s">
        <v>12</v>
      </c>
      <c r="C85" s="13" t="s">
        <v>222</v>
      </c>
      <c r="D85" s="11" t="s">
        <v>13</v>
      </c>
      <c r="E85" s="10">
        <v>39814</v>
      </c>
      <c r="F85" s="14" t="s">
        <v>207</v>
      </c>
      <c r="G85" s="15">
        <v>970127.88</v>
      </c>
    </row>
    <row r="86" spans="1:7" ht="38.25" x14ac:dyDescent="0.2">
      <c r="A86" s="16">
        <f t="shared" si="2"/>
        <v>82</v>
      </c>
      <c r="B86" s="57" t="s">
        <v>392</v>
      </c>
      <c r="C86" s="13" t="s">
        <v>222</v>
      </c>
      <c r="D86" s="11" t="s">
        <v>51</v>
      </c>
      <c r="E86" s="12">
        <v>42522</v>
      </c>
      <c r="F86" s="14" t="s">
        <v>199</v>
      </c>
      <c r="G86" s="15">
        <v>589526.1</v>
      </c>
    </row>
    <row r="87" spans="1:7" ht="38.25" x14ac:dyDescent="0.2">
      <c r="A87" s="16">
        <f t="shared" si="2"/>
        <v>83</v>
      </c>
      <c r="B87" s="58" t="s">
        <v>15</v>
      </c>
      <c r="C87" s="13" t="s">
        <v>222</v>
      </c>
      <c r="D87" s="9" t="s">
        <v>393</v>
      </c>
      <c r="E87" s="10">
        <v>45352</v>
      </c>
      <c r="F87" s="14" t="s">
        <v>199</v>
      </c>
      <c r="G87" s="15">
        <v>83520.679999999993</v>
      </c>
    </row>
    <row r="88" spans="1:7" ht="38.25" x14ac:dyDescent="0.2">
      <c r="A88" s="16">
        <f t="shared" si="2"/>
        <v>84</v>
      </c>
      <c r="B88" s="58" t="s">
        <v>170</v>
      </c>
      <c r="C88" s="13" t="s">
        <v>222</v>
      </c>
      <c r="D88" s="9" t="s">
        <v>171</v>
      </c>
      <c r="E88" s="10">
        <v>43313</v>
      </c>
      <c r="F88" s="14" t="s">
        <v>207</v>
      </c>
      <c r="G88" s="15">
        <v>1210290.18</v>
      </c>
    </row>
    <row r="89" spans="1:7" ht="38.25" x14ac:dyDescent="0.2">
      <c r="A89" s="16">
        <f t="shared" si="2"/>
        <v>85</v>
      </c>
      <c r="B89" s="58" t="s">
        <v>16</v>
      </c>
      <c r="C89" s="13" t="s">
        <v>222</v>
      </c>
      <c r="D89" s="9" t="s">
        <v>17</v>
      </c>
      <c r="E89" s="10">
        <v>42249</v>
      </c>
      <c r="F89" s="14" t="s">
        <v>199</v>
      </c>
      <c r="G89" s="15">
        <v>2565883.1800000002</v>
      </c>
    </row>
    <row r="90" spans="1:7" ht="38.25" x14ac:dyDescent="0.2">
      <c r="A90" s="16">
        <f t="shared" si="2"/>
        <v>86</v>
      </c>
      <c r="B90" s="58" t="s">
        <v>182</v>
      </c>
      <c r="C90" s="13" t="s">
        <v>222</v>
      </c>
      <c r="D90" s="9" t="s">
        <v>183</v>
      </c>
      <c r="E90" s="10">
        <v>43405</v>
      </c>
      <c r="F90" s="14" t="s">
        <v>207</v>
      </c>
      <c r="G90" s="15">
        <v>60131</v>
      </c>
    </row>
    <row r="91" spans="1:7" ht="31.5" x14ac:dyDescent="0.2">
      <c r="A91" s="16">
        <f t="shared" si="2"/>
        <v>87</v>
      </c>
      <c r="B91" s="68" t="s">
        <v>178</v>
      </c>
      <c r="C91" s="13" t="s">
        <v>222</v>
      </c>
      <c r="D91" s="11" t="s">
        <v>181</v>
      </c>
      <c r="E91" s="12">
        <v>43374</v>
      </c>
      <c r="F91" s="17" t="s">
        <v>414</v>
      </c>
      <c r="G91" s="15">
        <v>36500850.649999999</v>
      </c>
    </row>
    <row r="92" spans="1:7" ht="38.25" x14ac:dyDescent="0.2">
      <c r="A92" s="16">
        <f t="shared" si="2"/>
        <v>88</v>
      </c>
      <c r="B92" s="58" t="s">
        <v>20</v>
      </c>
      <c r="C92" s="13" t="s">
        <v>222</v>
      </c>
      <c r="D92" s="9" t="s">
        <v>21</v>
      </c>
      <c r="E92" s="10">
        <v>42825</v>
      </c>
      <c r="F92" s="14" t="s">
        <v>199</v>
      </c>
      <c r="G92" s="15">
        <v>3964247.35</v>
      </c>
    </row>
    <row r="93" spans="1:7" ht="38.25" x14ac:dyDescent="0.2">
      <c r="A93" s="16">
        <f t="shared" si="2"/>
        <v>89</v>
      </c>
      <c r="B93" s="58" t="s">
        <v>326</v>
      </c>
      <c r="C93" s="13" t="s">
        <v>222</v>
      </c>
      <c r="D93" s="9" t="s">
        <v>327</v>
      </c>
      <c r="E93" s="12">
        <v>44132</v>
      </c>
      <c r="F93" s="14" t="s">
        <v>207</v>
      </c>
      <c r="G93" s="15">
        <v>659216.4</v>
      </c>
    </row>
    <row r="94" spans="1:7" ht="38.25" x14ac:dyDescent="0.2">
      <c r="A94" s="16">
        <f t="shared" si="2"/>
        <v>90</v>
      </c>
      <c r="B94" s="58" t="s">
        <v>24</v>
      </c>
      <c r="C94" s="13" t="s">
        <v>222</v>
      </c>
      <c r="D94" s="9" t="s">
        <v>25</v>
      </c>
      <c r="E94" s="10">
        <v>43009</v>
      </c>
      <c r="F94" s="14" t="s">
        <v>199</v>
      </c>
      <c r="G94" s="15">
        <v>137143.32999999999</v>
      </c>
    </row>
    <row r="95" spans="1:7" ht="38.25" x14ac:dyDescent="0.2">
      <c r="A95" s="16">
        <f t="shared" si="2"/>
        <v>91</v>
      </c>
      <c r="B95" s="58" t="s">
        <v>174</v>
      </c>
      <c r="C95" s="13" t="s">
        <v>222</v>
      </c>
      <c r="D95" s="11" t="s">
        <v>175</v>
      </c>
      <c r="E95" s="12">
        <v>43374</v>
      </c>
      <c r="F95" s="14" t="s">
        <v>199</v>
      </c>
      <c r="G95" s="15">
        <v>104493.58</v>
      </c>
    </row>
    <row r="96" spans="1:7" ht="38.25" x14ac:dyDescent="0.2">
      <c r="A96" s="16">
        <f t="shared" si="2"/>
        <v>92</v>
      </c>
      <c r="B96" s="58" t="s">
        <v>328</v>
      </c>
      <c r="C96" s="13" t="s">
        <v>222</v>
      </c>
      <c r="D96" s="9" t="s">
        <v>329</v>
      </c>
      <c r="E96" s="10">
        <v>44046</v>
      </c>
      <c r="F96" s="14" t="s">
        <v>207</v>
      </c>
      <c r="G96" s="15">
        <v>261509.11</v>
      </c>
    </row>
    <row r="97" spans="1:7" ht="38.25" x14ac:dyDescent="0.2">
      <c r="A97" s="16">
        <f t="shared" si="2"/>
        <v>93</v>
      </c>
      <c r="B97" s="58" t="s">
        <v>26</v>
      </c>
      <c r="C97" s="13" t="s">
        <v>222</v>
      </c>
      <c r="D97" s="9" t="s">
        <v>27</v>
      </c>
      <c r="E97" s="10">
        <v>41435</v>
      </c>
      <c r="F97" s="14" t="s">
        <v>207</v>
      </c>
      <c r="G97" s="15">
        <v>1839130.01</v>
      </c>
    </row>
    <row r="98" spans="1:7" ht="38.25" x14ac:dyDescent="0.2">
      <c r="A98" s="16">
        <f t="shared" si="2"/>
        <v>94</v>
      </c>
      <c r="B98" s="58" t="s">
        <v>130</v>
      </c>
      <c r="C98" s="13" t="s">
        <v>222</v>
      </c>
      <c r="D98" s="9" t="s">
        <v>131</v>
      </c>
      <c r="E98" s="10">
        <v>42767</v>
      </c>
      <c r="F98" s="14" t="s">
        <v>207</v>
      </c>
      <c r="G98" s="15">
        <v>64485.96</v>
      </c>
    </row>
    <row r="99" spans="1:7" ht="38.25" x14ac:dyDescent="0.2">
      <c r="A99" s="16">
        <f t="shared" si="2"/>
        <v>95</v>
      </c>
      <c r="B99" s="58" t="s">
        <v>44</v>
      </c>
      <c r="C99" s="13" t="s">
        <v>222</v>
      </c>
      <c r="D99" s="9" t="s">
        <v>45</v>
      </c>
      <c r="E99" s="10">
        <v>41730</v>
      </c>
      <c r="F99" s="14" t="s">
        <v>199</v>
      </c>
      <c r="G99" s="15">
        <v>1714285.67</v>
      </c>
    </row>
    <row r="100" spans="1:7" ht="38.25" x14ac:dyDescent="0.2">
      <c r="A100" s="16">
        <f t="shared" si="2"/>
        <v>96</v>
      </c>
      <c r="B100" s="58" t="s">
        <v>29</v>
      </c>
      <c r="C100" s="13" t="s">
        <v>222</v>
      </c>
      <c r="D100" s="9" t="s">
        <v>30</v>
      </c>
      <c r="E100" s="10">
        <v>39814</v>
      </c>
      <c r="F100" s="14" t="s">
        <v>207</v>
      </c>
      <c r="G100" s="15">
        <v>467254.02</v>
      </c>
    </row>
    <row r="101" spans="1:7" ht="38.25" x14ac:dyDescent="0.2">
      <c r="A101" s="16">
        <f t="shared" si="2"/>
        <v>97</v>
      </c>
      <c r="B101" s="58" t="s">
        <v>34</v>
      </c>
      <c r="C101" s="13" t="s">
        <v>222</v>
      </c>
      <c r="D101" s="9" t="s">
        <v>35</v>
      </c>
      <c r="E101" s="10">
        <v>43221</v>
      </c>
      <c r="F101" s="14" t="s">
        <v>207</v>
      </c>
      <c r="G101" s="15">
        <v>51481.09</v>
      </c>
    </row>
    <row r="102" spans="1:7" ht="38.25" x14ac:dyDescent="0.2">
      <c r="A102" s="16">
        <f t="shared" ref="A102:A133" si="3">A101+1</f>
        <v>98</v>
      </c>
      <c r="B102" s="68" t="s">
        <v>112</v>
      </c>
      <c r="C102" s="13" t="s">
        <v>222</v>
      </c>
      <c r="D102" s="11" t="s">
        <v>2</v>
      </c>
      <c r="E102" s="12">
        <v>42438</v>
      </c>
      <c r="F102" s="14" t="s">
        <v>207</v>
      </c>
      <c r="G102" s="15">
        <v>56111.16</v>
      </c>
    </row>
    <row r="103" spans="1:7" ht="38.25" x14ac:dyDescent="0.2">
      <c r="A103" s="16">
        <f t="shared" si="3"/>
        <v>99</v>
      </c>
      <c r="B103" s="57" t="s">
        <v>48</v>
      </c>
      <c r="C103" s="13" t="s">
        <v>222</v>
      </c>
      <c r="D103" s="11" t="s">
        <v>49</v>
      </c>
      <c r="E103" s="12">
        <v>41774</v>
      </c>
      <c r="F103" s="14" t="s">
        <v>199</v>
      </c>
      <c r="G103" s="15">
        <v>2307963.2799999998</v>
      </c>
    </row>
    <row r="104" spans="1:7" ht="38.25" x14ac:dyDescent="0.2">
      <c r="A104" s="16">
        <f t="shared" si="3"/>
        <v>100</v>
      </c>
      <c r="B104" s="57" t="s">
        <v>330</v>
      </c>
      <c r="C104" s="13" t="s">
        <v>222</v>
      </c>
      <c r="D104" s="11" t="s">
        <v>50</v>
      </c>
      <c r="E104" s="12">
        <v>39814</v>
      </c>
      <c r="F104" s="14" t="s">
        <v>199</v>
      </c>
      <c r="G104" s="15">
        <v>986850.54</v>
      </c>
    </row>
    <row r="105" spans="1:7" ht="38.25" x14ac:dyDescent="0.2">
      <c r="A105" s="16">
        <f t="shared" si="3"/>
        <v>101</v>
      </c>
      <c r="B105" s="57" t="s">
        <v>46</v>
      </c>
      <c r="C105" s="13" t="s">
        <v>222</v>
      </c>
      <c r="D105" s="11" t="s">
        <v>47</v>
      </c>
      <c r="E105" s="12">
        <v>41913</v>
      </c>
      <c r="F105" s="14" t="s">
        <v>199</v>
      </c>
      <c r="G105" s="15">
        <v>3650539.42</v>
      </c>
    </row>
    <row r="106" spans="1:7" ht="38.25" x14ac:dyDescent="0.2">
      <c r="A106" s="16">
        <f t="shared" si="3"/>
        <v>102</v>
      </c>
      <c r="B106" s="57" t="s">
        <v>479</v>
      </c>
      <c r="C106" s="13" t="s">
        <v>222</v>
      </c>
      <c r="D106" s="11" t="s">
        <v>33</v>
      </c>
      <c r="E106" s="12">
        <v>42095</v>
      </c>
      <c r="F106" s="14" t="s">
        <v>199</v>
      </c>
      <c r="G106" s="15">
        <v>119269.12</v>
      </c>
    </row>
    <row r="107" spans="1:7" ht="38.25" x14ac:dyDescent="0.2">
      <c r="A107" s="16">
        <f t="shared" si="3"/>
        <v>103</v>
      </c>
      <c r="B107" s="57" t="s">
        <v>140</v>
      </c>
      <c r="C107" s="13" t="s">
        <v>222</v>
      </c>
      <c r="D107" s="11" t="s">
        <v>141</v>
      </c>
      <c r="E107" s="12">
        <v>42826</v>
      </c>
      <c r="F107" s="14" t="s">
        <v>199</v>
      </c>
      <c r="G107" s="15">
        <v>36932.870000000003</v>
      </c>
    </row>
    <row r="108" spans="1:7" ht="38.25" x14ac:dyDescent="0.2">
      <c r="A108" s="16">
        <f t="shared" si="3"/>
        <v>104</v>
      </c>
      <c r="B108" s="57" t="s">
        <v>126</v>
      </c>
      <c r="C108" s="13" t="s">
        <v>222</v>
      </c>
      <c r="D108" s="11" t="s">
        <v>127</v>
      </c>
      <c r="E108" s="12">
        <v>42767</v>
      </c>
      <c r="F108" s="14" t="s">
        <v>199</v>
      </c>
      <c r="G108" s="15">
        <v>173992.45</v>
      </c>
    </row>
    <row r="109" spans="1:7" ht="38.25" x14ac:dyDescent="0.2">
      <c r="A109" s="16">
        <f t="shared" si="3"/>
        <v>105</v>
      </c>
      <c r="B109" s="58" t="s">
        <v>54</v>
      </c>
      <c r="C109" s="13" t="s">
        <v>222</v>
      </c>
      <c r="D109" s="11" t="s">
        <v>56</v>
      </c>
      <c r="E109" s="12">
        <v>39904</v>
      </c>
      <c r="F109" s="14" t="s">
        <v>199</v>
      </c>
      <c r="G109" s="15">
        <v>3840575.6</v>
      </c>
    </row>
    <row r="110" spans="1:7" ht="38.25" x14ac:dyDescent="0.2">
      <c r="A110" s="16">
        <f t="shared" si="3"/>
        <v>106</v>
      </c>
      <c r="B110" s="58" t="s">
        <v>55</v>
      </c>
      <c r="C110" s="13" t="s">
        <v>222</v>
      </c>
      <c r="D110" s="11" t="s">
        <v>57</v>
      </c>
      <c r="E110" s="12">
        <v>42948</v>
      </c>
      <c r="F110" s="14" t="s">
        <v>199</v>
      </c>
      <c r="G110" s="15">
        <v>3623656.32</v>
      </c>
    </row>
    <row r="111" spans="1:7" ht="38.25" x14ac:dyDescent="0.2">
      <c r="A111" s="16">
        <f t="shared" si="3"/>
        <v>107</v>
      </c>
      <c r="B111" s="11" t="s">
        <v>136</v>
      </c>
      <c r="C111" s="13" t="s">
        <v>222</v>
      </c>
      <c r="D111" s="11" t="s">
        <v>137</v>
      </c>
      <c r="E111" s="12">
        <v>42767</v>
      </c>
      <c r="F111" s="14" t="s">
        <v>207</v>
      </c>
      <c r="G111" s="15">
        <v>9642</v>
      </c>
    </row>
    <row r="112" spans="1:7" ht="38.25" x14ac:dyDescent="0.2">
      <c r="A112" s="16">
        <f t="shared" si="3"/>
        <v>108</v>
      </c>
      <c r="B112" s="57" t="s">
        <v>331</v>
      </c>
      <c r="C112" s="13" t="s">
        <v>222</v>
      </c>
      <c r="D112" s="11" t="s">
        <v>332</v>
      </c>
      <c r="E112" s="12">
        <v>44013</v>
      </c>
      <c r="F112" s="14" t="s">
        <v>207</v>
      </c>
      <c r="G112" s="15">
        <v>95867.53</v>
      </c>
    </row>
    <row r="113" spans="1:7" ht="38.25" x14ac:dyDescent="0.2">
      <c r="A113" s="16">
        <f t="shared" si="3"/>
        <v>109</v>
      </c>
      <c r="B113" s="57" t="s">
        <v>148</v>
      </c>
      <c r="C113" s="13" t="s">
        <v>222</v>
      </c>
      <c r="D113" s="11" t="s">
        <v>149</v>
      </c>
      <c r="E113" s="12">
        <v>43009</v>
      </c>
      <c r="F113" s="14" t="s">
        <v>207</v>
      </c>
      <c r="G113" s="15">
        <v>15014</v>
      </c>
    </row>
    <row r="114" spans="1:7" ht="40.5" customHeight="1" x14ac:dyDescent="0.2">
      <c r="A114" s="16">
        <f t="shared" si="3"/>
        <v>110</v>
      </c>
      <c r="B114" s="57" t="s">
        <v>333</v>
      </c>
      <c r="C114" s="13" t="s">
        <v>222</v>
      </c>
      <c r="D114" s="11" t="s">
        <v>334</v>
      </c>
      <c r="E114" s="12">
        <v>43788</v>
      </c>
      <c r="F114" s="14" t="s">
        <v>207</v>
      </c>
      <c r="G114" s="15">
        <v>76677.279999999999</v>
      </c>
    </row>
    <row r="115" spans="1:7" ht="34.5" customHeight="1" x14ac:dyDescent="0.2">
      <c r="A115" s="16">
        <f t="shared" si="3"/>
        <v>111</v>
      </c>
      <c r="B115" s="69" t="s">
        <v>59</v>
      </c>
      <c r="C115" s="13" t="s">
        <v>222</v>
      </c>
      <c r="D115" s="11" t="s">
        <v>60</v>
      </c>
      <c r="E115" s="12">
        <v>43115</v>
      </c>
      <c r="F115" s="14" t="s">
        <v>207</v>
      </c>
      <c r="G115" s="15">
        <v>2739456.91</v>
      </c>
    </row>
    <row r="116" spans="1:7" ht="38.25" x14ac:dyDescent="0.2">
      <c r="A116" s="16">
        <f t="shared" si="3"/>
        <v>112</v>
      </c>
      <c r="B116" s="57" t="s">
        <v>162</v>
      </c>
      <c r="C116" s="13" t="s">
        <v>222</v>
      </c>
      <c r="D116" s="11" t="s">
        <v>163</v>
      </c>
      <c r="E116" s="12">
        <v>43191</v>
      </c>
      <c r="F116" s="14" t="s">
        <v>207</v>
      </c>
      <c r="G116" s="15">
        <v>77107.98</v>
      </c>
    </row>
    <row r="117" spans="1:7" ht="38.25" x14ac:dyDescent="0.2">
      <c r="A117" s="16">
        <f t="shared" si="3"/>
        <v>113</v>
      </c>
      <c r="B117" s="58" t="s">
        <v>123</v>
      </c>
      <c r="C117" s="13" t="s">
        <v>222</v>
      </c>
      <c r="D117" s="11" t="s">
        <v>142</v>
      </c>
      <c r="E117" s="12">
        <v>42826</v>
      </c>
      <c r="F117" s="14" t="s">
        <v>207</v>
      </c>
      <c r="G117" s="15">
        <v>135492.29999999999</v>
      </c>
    </row>
    <row r="118" spans="1:7" ht="38.25" x14ac:dyDescent="0.2">
      <c r="A118" s="16">
        <f t="shared" si="3"/>
        <v>114</v>
      </c>
      <c r="B118" s="57" t="s">
        <v>67</v>
      </c>
      <c r="C118" s="13" t="s">
        <v>222</v>
      </c>
      <c r="D118" s="11" t="s">
        <v>68</v>
      </c>
      <c r="E118" s="12">
        <v>40710</v>
      </c>
      <c r="F118" s="14" t="s">
        <v>199</v>
      </c>
      <c r="G118" s="15">
        <v>836163.96</v>
      </c>
    </row>
    <row r="119" spans="1:7" ht="38.25" x14ac:dyDescent="0.2">
      <c r="A119" s="16">
        <f t="shared" si="3"/>
        <v>115</v>
      </c>
      <c r="B119" s="58" t="s">
        <v>337</v>
      </c>
      <c r="C119" s="13" t="s">
        <v>222</v>
      </c>
      <c r="D119" s="11" t="s">
        <v>338</v>
      </c>
      <c r="E119" s="12">
        <v>43661</v>
      </c>
      <c r="F119" s="14" t="s">
        <v>207</v>
      </c>
      <c r="G119" s="15">
        <v>182307.44</v>
      </c>
    </row>
    <row r="120" spans="1:7" ht="38.25" x14ac:dyDescent="0.2">
      <c r="A120" s="16">
        <f t="shared" si="3"/>
        <v>116</v>
      </c>
      <c r="B120" s="11" t="s">
        <v>65</v>
      </c>
      <c r="C120" s="13" t="s">
        <v>222</v>
      </c>
      <c r="D120" s="11" t="s">
        <v>66</v>
      </c>
      <c r="E120" s="12">
        <v>43040</v>
      </c>
      <c r="F120" s="14" t="s">
        <v>199</v>
      </c>
      <c r="G120" s="15">
        <v>1321.1224999999999</v>
      </c>
    </row>
    <row r="121" spans="1:7" ht="38.25" x14ac:dyDescent="0.2">
      <c r="A121" s="16">
        <f t="shared" si="3"/>
        <v>117</v>
      </c>
      <c r="B121" s="57" t="s">
        <v>63</v>
      </c>
      <c r="C121" s="13" t="s">
        <v>222</v>
      </c>
      <c r="D121" s="11" t="s">
        <v>64</v>
      </c>
      <c r="E121" s="12">
        <v>42865</v>
      </c>
      <c r="F121" s="14" t="s">
        <v>199</v>
      </c>
      <c r="G121" s="15">
        <v>506196.84</v>
      </c>
    </row>
    <row r="122" spans="1:7" ht="38.25" x14ac:dyDescent="0.2">
      <c r="A122" s="16">
        <f t="shared" si="3"/>
        <v>118</v>
      </c>
      <c r="B122" s="58" t="s">
        <v>73</v>
      </c>
      <c r="C122" s="13" t="s">
        <v>222</v>
      </c>
      <c r="D122" s="11" t="s">
        <v>74</v>
      </c>
      <c r="E122" s="12">
        <v>39814</v>
      </c>
      <c r="F122" s="14" t="s">
        <v>199</v>
      </c>
      <c r="G122" s="15">
        <v>5982</v>
      </c>
    </row>
    <row r="123" spans="1:7" ht="38.25" x14ac:dyDescent="0.2">
      <c r="A123" s="16">
        <f t="shared" si="3"/>
        <v>119</v>
      </c>
      <c r="B123" s="57" t="s">
        <v>192</v>
      </c>
      <c r="C123" s="13" t="s">
        <v>222</v>
      </c>
      <c r="D123" s="11" t="s">
        <v>193</v>
      </c>
      <c r="E123" s="12">
        <v>43535</v>
      </c>
      <c r="F123" s="14" t="s">
        <v>207</v>
      </c>
      <c r="G123" s="15">
        <v>500334.48</v>
      </c>
    </row>
    <row r="124" spans="1:7" ht="38.25" x14ac:dyDescent="0.2">
      <c r="A124" s="16">
        <f t="shared" si="3"/>
        <v>120</v>
      </c>
      <c r="B124" s="11" t="s">
        <v>138</v>
      </c>
      <c r="C124" s="13" t="s">
        <v>222</v>
      </c>
      <c r="D124" s="11" t="s">
        <v>139</v>
      </c>
      <c r="E124" s="12">
        <v>42856</v>
      </c>
      <c r="F124" s="14" t="s">
        <v>199</v>
      </c>
      <c r="G124" s="15">
        <v>119879.28</v>
      </c>
    </row>
    <row r="125" spans="1:7" ht="38.25" x14ac:dyDescent="0.2">
      <c r="A125" s="16">
        <f t="shared" si="3"/>
        <v>121</v>
      </c>
      <c r="B125" s="57" t="s">
        <v>340</v>
      </c>
      <c r="C125" s="13" t="s">
        <v>222</v>
      </c>
      <c r="D125" s="11" t="s">
        <v>341</v>
      </c>
      <c r="E125" s="12">
        <v>43908</v>
      </c>
      <c r="F125" s="14" t="s">
        <v>207</v>
      </c>
      <c r="G125" s="15">
        <v>311.07</v>
      </c>
    </row>
    <row r="126" spans="1:7" ht="38.25" x14ac:dyDescent="0.2">
      <c r="A126" s="16">
        <f t="shared" si="3"/>
        <v>122</v>
      </c>
      <c r="B126" s="58" t="s">
        <v>480</v>
      </c>
      <c r="C126" s="13" t="s">
        <v>222</v>
      </c>
      <c r="D126" s="11" t="s">
        <v>71</v>
      </c>
      <c r="E126" s="12">
        <v>42429</v>
      </c>
      <c r="F126" s="14" t="s">
        <v>199</v>
      </c>
      <c r="G126" s="15">
        <v>2879375.53</v>
      </c>
    </row>
    <row r="127" spans="1:7" ht="38.25" x14ac:dyDescent="0.2">
      <c r="A127" s="16">
        <f t="shared" si="3"/>
        <v>123</v>
      </c>
      <c r="B127" s="58" t="s">
        <v>75</v>
      </c>
      <c r="C127" s="13" t="s">
        <v>222</v>
      </c>
      <c r="D127" s="11" t="s">
        <v>76</v>
      </c>
      <c r="E127" s="12">
        <v>42736</v>
      </c>
      <c r="F127" s="14" t="s">
        <v>207</v>
      </c>
      <c r="G127" s="15">
        <v>8745.69</v>
      </c>
    </row>
    <row r="128" spans="1:7" ht="38.25" x14ac:dyDescent="0.2">
      <c r="A128" s="16">
        <f t="shared" si="3"/>
        <v>124</v>
      </c>
      <c r="B128" s="57" t="s">
        <v>313</v>
      </c>
      <c r="C128" s="13" t="s">
        <v>222</v>
      </c>
      <c r="D128" s="11" t="s">
        <v>314</v>
      </c>
      <c r="E128" s="12">
        <v>44046</v>
      </c>
      <c r="F128" s="14" t="s">
        <v>207</v>
      </c>
      <c r="G128" s="15">
        <v>49291.68</v>
      </c>
    </row>
    <row r="129" spans="1:7" ht="38.25" x14ac:dyDescent="0.2">
      <c r="A129" s="16">
        <f t="shared" si="3"/>
        <v>125</v>
      </c>
      <c r="B129" s="58" t="s">
        <v>118</v>
      </c>
      <c r="C129" s="13" t="s">
        <v>222</v>
      </c>
      <c r="D129" s="11" t="s">
        <v>119</v>
      </c>
      <c r="E129" s="12">
        <v>43221</v>
      </c>
      <c r="F129" s="14" t="s">
        <v>207</v>
      </c>
      <c r="G129" s="15">
        <v>374425.34</v>
      </c>
    </row>
    <row r="130" spans="1:7" ht="38.25" x14ac:dyDescent="0.2">
      <c r="A130" s="16">
        <f t="shared" si="3"/>
        <v>126</v>
      </c>
      <c r="B130" s="57" t="s">
        <v>36</v>
      </c>
      <c r="C130" s="13" t="s">
        <v>222</v>
      </c>
      <c r="D130" s="11" t="s">
        <v>37</v>
      </c>
      <c r="E130" s="12">
        <v>39814</v>
      </c>
      <c r="F130" s="14" t="s">
        <v>199</v>
      </c>
      <c r="G130" s="15">
        <v>13292938.15</v>
      </c>
    </row>
    <row r="131" spans="1:7" ht="38.25" x14ac:dyDescent="0.2">
      <c r="A131" s="16">
        <f t="shared" si="3"/>
        <v>127</v>
      </c>
      <c r="B131" s="57" t="s">
        <v>324</v>
      </c>
      <c r="C131" s="13" t="s">
        <v>222</v>
      </c>
      <c r="D131" s="11" t="s">
        <v>325</v>
      </c>
      <c r="E131" s="12">
        <v>44105</v>
      </c>
      <c r="F131" s="14" t="s">
        <v>203</v>
      </c>
      <c r="G131" s="15">
        <v>167639.57</v>
      </c>
    </row>
    <row r="132" spans="1:7" ht="38.25" x14ac:dyDescent="0.2">
      <c r="A132" s="16">
        <f t="shared" si="3"/>
        <v>128</v>
      </c>
      <c r="B132" s="57" t="s">
        <v>107</v>
      </c>
      <c r="C132" s="13" t="s">
        <v>222</v>
      </c>
      <c r="D132" s="11" t="s">
        <v>108</v>
      </c>
      <c r="E132" s="12">
        <v>41609</v>
      </c>
      <c r="F132" s="14" t="s">
        <v>207</v>
      </c>
      <c r="G132" s="15">
        <v>921096.39</v>
      </c>
    </row>
    <row r="133" spans="1:7" ht="38.25" x14ac:dyDescent="0.2">
      <c r="A133" s="16">
        <f t="shared" si="3"/>
        <v>129</v>
      </c>
      <c r="B133" s="58" t="s">
        <v>109</v>
      </c>
      <c r="C133" s="13" t="s">
        <v>222</v>
      </c>
      <c r="D133" s="11" t="s">
        <v>110</v>
      </c>
      <c r="E133" s="12">
        <v>39904</v>
      </c>
      <c r="F133" s="14" t="s">
        <v>207</v>
      </c>
      <c r="G133" s="15">
        <v>164708.39000000001</v>
      </c>
    </row>
    <row r="134" spans="1:7" ht="31.5" x14ac:dyDescent="0.2">
      <c r="A134" s="16">
        <f t="shared" ref="A134:A165" si="4">A133+1</f>
        <v>130</v>
      </c>
      <c r="B134" s="57" t="s">
        <v>298</v>
      </c>
      <c r="C134" s="13" t="s">
        <v>222</v>
      </c>
      <c r="D134" s="11" t="s">
        <v>40</v>
      </c>
      <c r="E134" s="12">
        <v>39814</v>
      </c>
      <c r="F134" s="17" t="s">
        <v>218</v>
      </c>
      <c r="G134" s="15">
        <v>6439288.9000000004</v>
      </c>
    </row>
    <row r="135" spans="1:7" ht="38.25" x14ac:dyDescent="0.2">
      <c r="A135" s="16">
        <f t="shared" si="4"/>
        <v>131</v>
      </c>
      <c r="B135" s="57" t="s">
        <v>298</v>
      </c>
      <c r="C135" s="13" t="s">
        <v>222</v>
      </c>
      <c r="D135" s="11" t="s">
        <v>41</v>
      </c>
      <c r="E135" s="12">
        <v>42125</v>
      </c>
      <c r="F135" s="14" t="s">
        <v>204</v>
      </c>
      <c r="G135" s="15">
        <v>4837152.5599999996</v>
      </c>
    </row>
    <row r="136" spans="1:7" ht="38.25" x14ac:dyDescent="0.2">
      <c r="A136" s="16">
        <f t="shared" si="4"/>
        <v>132</v>
      </c>
      <c r="B136" s="58" t="s">
        <v>394</v>
      </c>
      <c r="C136" s="13" t="s">
        <v>222</v>
      </c>
      <c r="D136" s="11" t="s">
        <v>11</v>
      </c>
      <c r="E136" s="12">
        <v>41699</v>
      </c>
      <c r="F136" s="14" t="s">
        <v>199</v>
      </c>
      <c r="G136" s="15">
        <v>79177.75</v>
      </c>
    </row>
    <row r="137" spans="1:7" ht="38.25" x14ac:dyDescent="0.2">
      <c r="A137" s="16">
        <f t="shared" si="4"/>
        <v>133</v>
      </c>
      <c r="B137" s="68" t="s">
        <v>305</v>
      </c>
      <c r="C137" s="13" t="s">
        <v>222</v>
      </c>
      <c r="D137" s="52" t="s">
        <v>465</v>
      </c>
      <c r="E137" s="53">
        <v>46023</v>
      </c>
      <c r="F137" s="14" t="s">
        <v>201</v>
      </c>
      <c r="G137" s="15">
        <v>447473.23</v>
      </c>
    </row>
    <row r="138" spans="1:7" ht="38.25" x14ac:dyDescent="0.2">
      <c r="A138" s="16">
        <f t="shared" si="4"/>
        <v>134</v>
      </c>
      <c r="B138" s="68" t="s">
        <v>28</v>
      </c>
      <c r="C138" s="13" t="s">
        <v>222</v>
      </c>
      <c r="D138" s="11" t="s">
        <v>342</v>
      </c>
      <c r="E138" s="12">
        <v>43830</v>
      </c>
      <c r="F138" s="14" t="s">
        <v>199</v>
      </c>
      <c r="G138" s="15">
        <v>418008.44</v>
      </c>
    </row>
    <row r="139" spans="1:7" ht="38.25" x14ac:dyDescent="0.2">
      <c r="A139" s="16">
        <f t="shared" si="4"/>
        <v>135</v>
      </c>
      <c r="B139" s="69" t="s">
        <v>369</v>
      </c>
      <c r="C139" s="13" t="s">
        <v>222</v>
      </c>
      <c r="D139" s="11" t="s">
        <v>370</v>
      </c>
      <c r="E139" s="12">
        <v>45470</v>
      </c>
      <c r="F139" s="14" t="s">
        <v>371</v>
      </c>
      <c r="G139" s="15">
        <v>58037.4</v>
      </c>
    </row>
    <row r="140" spans="1:7" ht="38.25" x14ac:dyDescent="0.2">
      <c r="A140" s="16">
        <f t="shared" si="4"/>
        <v>136</v>
      </c>
      <c r="B140" s="58" t="s">
        <v>22</v>
      </c>
      <c r="C140" s="13" t="s">
        <v>222</v>
      </c>
      <c r="D140" s="52" t="s">
        <v>462</v>
      </c>
      <c r="E140" s="54">
        <v>45930</v>
      </c>
      <c r="F140" s="14" t="s">
        <v>205</v>
      </c>
      <c r="G140" s="15">
        <v>282834.83</v>
      </c>
    </row>
    <row r="141" spans="1:7" ht="38.25" x14ac:dyDescent="0.2">
      <c r="A141" s="16">
        <f t="shared" si="4"/>
        <v>137</v>
      </c>
      <c r="B141" s="58" t="s">
        <v>31</v>
      </c>
      <c r="C141" s="13" t="s">
        <v>222</v>
      </c>
      <c r="D141" s="11" t="s">
        <v>32</v>
      </c>
      <c r="E141" s="12">
        <v>42348</v>
      </c>
      <c r="F141" s="14" t="s">
        <v>199</v>
      </c>
      <c r="G141" s="15">
        <v>9343.8799999999992</v>
      </c>
    </row>
    <row r="142" spans="1:7" ht="38.25" x14ac:dyDescent="0.2">
      <c r="A142" s="16">
        <f t="shared" si="4"/>
        <v>138</v>
      </c>
      <c r="B142" s="58" t="s">
        <v>77</v>
      </c>
      <c r="C142" s="13" t="s">
        <v>222</v>
      </c>
      <c r="D142" s="11" t="s">
        <v>78</v>
      </c>
      <c r="E142" s="12">
        <v>42339</v>
      </c>
      <c r="F142" s="14" t="s">
        <v>199</v>
      </c>
      <c r="G142" s="15">
        <v>3887342.88</v>
      </c>
    </row>
    <row r="143" spans="1:7" ht="38.25" x14ac:dyDescent="0.2">
      <c r="A143" s="16">
        <f t="shared" si="4"/>
        <v>139</v>
      </c>
      <c r="B143" s="58" t="s">
        <v>395</v>
      </c>
      <c r="C143" s="13" t="s">
        <v>222</v>
      </c>
      <c r="D143" s="11" t="s">
        <v>396</v>
      </c>
      <c r="E143" s="12">
        <v>44621</v>
      </c>
      <c r="F143" s="14" t="s">
        <v>207</v>
      </c>
      <c r="G143" s="15">
        <v>1350161.33</v>
      </c>
    </row>
    <row r="144" spans="1:7" ht="38.25" x14ac:dyDescent="0.2">
      <c r="A144" s="16">
        <f t="shared" si="4"/>
        <v>140</v>
      </c>
      <c r="B144" s="58" t="s">
        <v>397</v>
      </c>
      <c r="C144" s="13" t="s">
        <v>222</v>
      </c>
      <c r="D144" s="11" t="s">
        <v>398</v>
      </c>
      <c r="E144" s="12">
        <v>45348</v>
      </c>
      <c r="F144" s="14" t="s">
        <v>207</v>
      </c>
      <c r="G144" s="15">
        <v>723271.65</v>
      </c>
    </row>
    <row r="145" spans="1:7" ht="38.25" x14ac:dyDescent="0.2">
      <c r="A145" s="16">
        <f t="shared" si="4"/>
        <v>141</v>
      </c>
      <c r="B145" s="58" t="s">
        <v>399</v>
      </c>
      <c r="C145" s="13" t="s">
        <v>222</v>
      </c>
      <c r="D145" s="11" t="s">
        <v>400</v>
      </c>
      <c r="E145" s="12">
        <v>44958</v>
      </c>
      <c r="F145" s="14" t="s">
        <v>207</v>
      </c>
      <c r="G145" s="15">
        <v>215603.24</v>
      </c>
    </row>
    <row r="146" spans="1:7" ht="38.25" x14ac:dyDescent="0.2">
      <c r="A146" s="16">
        <f t="shared" si="4"/>
        <v>142</v>
      </c>
      <c r="B146" s="58" t="s">
        <v>401</v>
      </c>
      <c r="C146" s="13" t="s">
        <v>222</v>
      </c>
      <c r="D146" s="11" t="s">
        <v>402</v>
      </c>
      <c r="E146" s="12">
        <v>45536</v>
      </c>
      <c r="F146" s="14" t="s">
        <v>207</v>
      </c>
      <c r="G146" s="15">
        <v>172891.76</v>
      </c>
    </row>
    <row r="147" spans="1:7" ht="38.25" x14ac:dyDescent="0.2">
      <c r="A147" s="16">
        <f t="shared" si="4"/>
        <v>143</v>
      </c>
      <c r="B147" s="58" t="s">
        <v>403</v>
      </c>
      <c r="C147" s="13" t="s">
        <v>222</v>
      </c>
      <c r="D147" s="11" t="s">
        <v>303</v>
      </c>
      <c r="E147" s="12">
        <v>43770</v>
      </c>
      <c r="F147" s="14" t="s">
        <v>199</v>
      </c>
      <c r="G147" s="15">
        <v>116852.38</v>
      </c>
    </row>
    <row r="148" spans="1:7" ht="38.25" x14ac:dyDescent="0.2">
      <c r="A148" s="16">
        <f t="shared" si="4"/>
        <v>144</v>
      </c>
      <c r="B148" s="58" t="s">
        <v>404</v>
      </c>
      <c r="C148" s="13" t="s">
        <v>222</v>
      </c>
      <c r="D148" s="11" t="s">
        <v>405</v>
      </c>
      <c r="E148" s="12">
        <v>45047</v>
      </c>
      <c r="F148" s="14" t="s">
        <v>199</v>
      </c>
      <c r="G148" s="15">
        <v>658797.66</v>
      </c>
    </row>
    <row r="149" spans="1:7" ht="38.25" x14ac:dyDescent="0.2">
      <c r="A149" s="16">
        <f t="shared" si="4"/>
        <v>145</v>
      </c>
      <c r="B149" s="58" t="s">
        <v>481</v>
      </c>
      <c r="C149" s="13" t="s">
        <v>222</v>
      </c>
      <c r="D149" s="11" t="s">
        <v>406</v>
      </c>
      <c r="E149" s="12">
        <v>44927</v>
      </c>
      <c r="F149" s="14" t="s">
        <v>207</v>
      </c>
      <c r="G149" s="15">
        <v>554866.39</v>
      </c>
    </row>
    <row r="150" spans="1:7" ht="38.25" x14ac:dyDescent="0.2">
      <c r="A150" s="16">
        <f t="shared" si="4"/>
        <v>146</v>
      </c>
      <c r="B150" s="58" t="s">
        <v>407</v>
      </c>
      <c r="C150" s="13" t="s">
        <v>222</v>
      </c>
      <c r="D150" s="11" t="s">
        <v>408</v>
      </c>
      <c r="E150" s="12">
        <v>44348</v>
      </c>
      <c r="F150" s="14" t="s">
        <v>207</v>
      </c>
      <c r="G150" s="15">
        <v>212241.36</v>
      </c>
    </row>
    <row r="151" spans="1:7" ht="38.25" x14ac:dyDescent="0.2">
      <c r="A151" s="16">
        <f t="shared" si="4"/>
        <v>147</v>
      </c>
      <c r="B151" s="58" t="s">
        <v>409</v>
      </c>
      <c r="C151" s="13" t="s">
        <v>222</v>
      </c>
      <c r="D151" s="11" t="s">
        <v>410</v>
      </c>
      <c r="E151" s="12">
        <v>44743</v>
      </c>
      <c r="F151" s="14" t="s">
        <v>207</v>
      </c>
      <c r="G151" s="15">
        <v>733967.47</v>
      </c>
    </row>
    <row r="152" spans="1:7" ht="38.25" x14ac:dyDescent="0.2">
      <c r="A152" s="16">
        <f t="shared" si="4"/>
        <v>148</v>
      </c>
      <c r="B152" s="58" t="s">
        <v>411</v>
      </c>
      <c r="C152" s="13" t="s">
        <v>222</v>
      </c>
      <c r="D152" s="11" t="s">
        <v>412</v>
      </c>
      <c r="E152" s="12">
        <v>44853</v>
      </c>
      <c r="F152" s="14" t="s">
        <v>207</v>
      </c>
      <c r="G152" s="15">
        <v>46133.18</v>
      </c>
    </row>
    <row r="153" spans="1:7" ht="38.25" x14ac:dyDescent="0.2">
      <c r="A153" s="16">
        <f t="shared" si="4"/>
        <v>149</v>
      </c>
      <c r="B153" s="58" t="s">
        <v>413</v>
      </c>
      <c r="C153" s="13" t="s">
        <v>222</v>
      </c>
      <c r="D153" s="11" t="s">
        <v>482</v>
      </c>
      <c r="E153" s="12">
        <v>44927</v>
      </c>
      <c r="F153" s="14" t="s">
        <v>207</v>
      </c>
      <c r="G153" s="15">
        <v>135540.15</v>
      </c>
    </row>
    <row r="154" spans="1:7" ht="38.25" x14ac:dyDescent="0.2">
      <c r="A154" s="16">
        <f t="shared" si="4"/>
        <v>150</v>
      </c>
      <c r="B154" s="58" t="s">
        <v>421</v>
      </c>
      <c r="C154" s="13" t="s">
        <v>222</v>
      </c>
      <c r="D154" s="9" t="s">
        <v>419</v>
      </c>
      <c r="E154" s="10">
        <v>46062</v>
      </c>
      <c r="F154" s="14" t="s">
        <v>207</v>
      </c>
      <c r="G154" s="15">
        <v>350000</v>
      </c>
    </row>
    <row r="155" spans="1:7" ht="38.25" x14ac:dyDescent="0.2">
      <c r="A155" s="16">
        <f t="shared" si="4"/>
        <v>151</v>
      </c>
      <c r="B155" s="58" t="s">
        <v>422</v>
      </c>
      <c r="C155" s="13" t="s">
        <v>222</v>
      </c>
      <c r="D155" s="9" t="s">
        <v>420</v>
      </c>
      <c r="E155" s="10">
        <v>46093</v>
      </c>
      <c r="F155" s="14" t="s">
        <v>207</v>
      </c>
      <c r="G155" s="15">
        <v>589635.25</v>
      </c>
    </row>
    <row r="156" spans="1:7" ht="38.25" x14ac:dyDescent="0.2">
      <c r="A156" s="16">
        <f t="shared" si="4"/>
        <v>152</v>
      </c>
      <c r="B156" s="58" t="s">
        <v>423</v>
      </c>
      <c r="C156" s="13" t="s">
        <v>222</v>
      </c>
      <c r="D156" s="9" t="s">
        <v>391</v>
      </c>
      <c r="E156" s="10">
        <v>45839</v>
      </c>
      <c r="F156" s="14" t="s">
        <v>207</v>
      </c>
      <c r="G156" s="15">
        <v>859563.58</v>
      </c>
    </row>
    <row r="157" spans="1:7" ht="38.25" x14ac:dyDescent="0.2">
      <c r="A157" s="16">
        <f t="shared" si="4"/>
        <v>153</v>
      </c>
      <c r="B157" s="56" t="s">
        <v>435</v>
      </c>
      <c r="C157" s="51" t="s">
        <v>222</v>
      </c>
      <c r="D157" s="52" t="s">
        <v>436</v>
      </c>
      <c r="E157" s="10">
        <v>45383</v>
      </c>
      <c r="F157" s="14" t="s">
        <v>207</v>
      </c>
      <c r="G157" s="50"/>
    </row>
    <row r="158" spans="1:7" ht="38.25" x14ac:dyDescent="0.2">
      <c r="A158" s="16">
        <f t="shared" si="4"/>
        <v>154</v>
      </c>
      <c r="B158" s="56" t="s">
        <v>438</v>
      </c>
      <c r="C158" s="51" t="s">
        <v>222</v>
      </c>
      <c r="D158" s="52" t="s">
        <v>439</v>
      </c>
      <c r="E158" s="10">
        <v>45635</v>
      </c>
      <c r="F158" s="14" t="s">
        <v>207</v>
      </c>
      <c r="G158" s="50"/>
    </row>
    <row r="159" spans="1:7" ht="38.25" x14ac:dyDescent="0.2">
      <c r="A159" s="16">
        <f t="shared" si="4"/>
        <v>155</v>
      </c>
      <c r="B159" s="56" t="s">
        <v>440</v>
      </c>
      <c r="C159" s="51" t="s">
        <v>222</v>
      </c>
      <c r="D159" s="52" t="s">
        <v>441</v>
      </c>
      <c r="E159" s="10">
        <v>45658</v>
      </c>
      <c r="F159" s="14" t="s">
        <v>207</v>
      </c>
      <c r="G159" s="50"/>
    </row>
    <row r="160" spans="1:7" ht="38.25" x14ac:dyDescent="0.2">
      <c r="A160" s="16">
        <f t="shared" si="4"/>
        <v>156</v>
      </c>
      <c r="B160" s="56" t="s">
        <v>442</v>
      </c>
      <c r="C160" s="51" t="s">
        <v>222</v>
      </c>
      <c r="D160" s="52" t="s">
        <v>443</v>
      </c>
      <c r="E160" s="10">
        <v>45689</v>
      </c>
      <c r="F160" s="14" t="s">
        <v>207</v>
      </c>
      <c r="G160" s="50"/>
    </row>
    <row r="161" spans="1:7" ht="38.25" x14ac:dyDescent="0.2">
      <c r="A161" s="16">
        <f t="shared" si="4"/>
        <v>157</v>
      </c>
      <c r="B161" s="56" t="s">
        <v>444</v>
      </c>
      <c r="C161" s="51" t="s">
        <v>222</v>
      </c>
      <c r="D161" s="52" t="s">
        <v>445</v>
      </c>
      <c r="E161" s="10">
        <v>45748</v>
      </c>
      <c r="F161" s="14" t="s">
        <v>207</v>
      </c>
      <c r="G161" s="50"/>
    </row>
    <row r="162" spans="1:7" ht="38.25" x14ac:dyDescent="0.25">
      <c r="A162" s="16">
        <f t="shared" si="4"/>
        <v>158</v>
      </c>
      <c r="B162" s="73" t="s">
        <v>446</v>
      </c>
      <c r="C162" s="51" t="s">
        <v>222</v>
      </c>
      <c r="D162" s="52" t="s">
        <v>447</v>
      </c>
      <c r="E162" s="10">
        <v>45748</v>
      </c>
      <c r="F162" s="14" t="s">
        <v>207</v>
      </c>
      <c r="G162" s="50"/>
    </row>
    <row r="163" spans="1:7" ht="38.25" x14ac:dyDescent="0.25">
      <c r="A163" s="16">
        <f t="shared" si="4"/>
        <v>159</v>
      </c>
      <c r="B163" s="73" t="s">
        <v>448</v>
      </c>
      <c r="C163" s="51" t="s">
        <v>222</v>
      </c>
      <c r="D163" s="52" t="s">
        <v>449</v>
      </c>
      <c r="E163" s="10">
        <v>45778</v>
      </c>
      <c r="F163" s="14" t="s">
        <v>207</v>
      </c>
      <c r="G163" s="50"/>
    </row>
    <row r="164" spans="1:7" ht="38.25" x14ac:dyDescent="0.25">
      <c r="A164" s="16">
        <f t="shared" si="4"/>
        <v>160</v>
      </c>
      <c r="B164" s="73" t="s">
        <v>450</v>
      </c>
      <c r="C164" s="51" t="s">
        <v>222</v>
      </c>
      <c r="D164" s="52" t="s">
        <v>451</v>
      </c>
      <c r="E164" s="10">
        <v>45778</v>
      </c>
      <c r="F164" s="14" t="s">
        <v>207</v>
      </c>
      <c r="G164" s="50"/>
    </row>
    <row r="165" spans="1:7" ht="38.25" x14ac:dyDescent="0.2">
      <c r="A165" s="16">
        <f t="shared" si="4"/>
        <v>161</v>
      </c>
      <c r="B165" s="75" t="s">
        <v>452</v>
      </c>
      <c r="C165" s="51" t="s">
        <v>222</v>
      </c>
      <c r="D165" s="52" t="s">
        <v>453</v>
      </c>
      <c r="E165" s="10">
        <v>45798</v>
      </c>
      <c r="F165" s="14" t="s">
        <v>207</v>
      </c>
      <c r="G165" s="50"/>
    </row>
    <row r="166" spans="1:7" ht="38.25" x14ac:dyDescent="0.2">
      <c r="A166" s="16">
        <f t="shared" ref="A166:A181" si="5">A165+1</f>
        <v>162</v>
      </c>
      <c r="B166" s="56" t="s">
        <v>454</v>
      </c>
      <c r="C166" s="51" t="s">
        <v>222</v>
      </c>
      <c r="D166" s="52" t="s">
        <v>455</v>
      </c>
      <c r="E166" s="10">
        <v>45825</v>
      </c>
      <c r="F166" s="14" t="s">
        <v>207</v>
      </c>
      <c r="G166" s="50"/>
    </row>
    <row r="167" spans="1:7" ht="38.25" x14ac:dyDescent="0.2">
      <c r="A167" s="16">
        <f t="shared" si="5"/>
        <v>163</v>
      </c>
      <c r="B167" s="56" t="s">
        <v>456</v>
      </c>
      <c r="C167" s="51" t="s">
        <v>222</v>
      </c>
      <c r="D167" s="52" t="s">
        <v>457</v>
      </c>
      <c r="E167" s="10">
        <v>45842</v>
      </c>
      <c r="F167" s="14" t="s">
        <v>207</v>
      </c>
      <c r="G167" s="50"/>
    </row>
    <row r="168" spans="1:7" ht="38.25" x14ac:dyDescent="0.2">
      <c r="A168" s="16">
        <f t="shared" si="5"/>
        <v>164</v>
      </c>
      <c r="B168" s="56" t="s">
        <v>458</v>
      </c>
      <c r="C168" s="51" t="s">
        <v>222</v>
      </c>
      <c r="D168" s="52" t="s">
        <v>459</v>
      </c>
      <c r="E168" s="10">
        <v>45847</v>
      </c>
      <c r="F168" s="14" t="s">
        <v>207</v>
      </c>
      <c r="G168" s="50"/>
    </row>
    <row r="169" spans="1:7" ht="38.25" x14ac:dyDescent="0.2">
      <c r="A169" s="16">
        <f t="shared" si="5"/>
        <v>165</v>
      </c>
      <c r="B169" s="56" t="s">
        <v>460</v>
      </c>
      <c r="C169" s="51" t="s">
        <v>222</v>
      </c>
      <c r="D169" s="52" t="s">
        <v>461</v>
      </c>
      <c r="E169" s="10">
        <v>45854</v>
      </c>
      <c r="F169" s="14" t="s">
        <v>207</v>
      </c>
      <c r="G169" s="50"/>
    </row>
    <row r="170" spans="1:7" ht="38.25" x14ac:dyDescent="0.2">
      <c r="A170" s="16">
        <f t="shared" si="5"/>
        <v>166</v>
      </c>
      <c r="B170" s="56" t="s">
        <v>463</v>
      </c>
      <c r="C170" s="51" t="s">
        <v>222</v>
      </c>
      <c r="D170" s="52" t="s">
        <v>464</v>
      </c>
      <c r="E170" s="10">
        <v>45901</v>
      </c>
      <c r="F170" s="14" t="s">
        <v>207</v>
      </c>
      <c r="G170" s="50"/>
    </row>
    <row r="171" spans="1:7" ht="38.25" x14ac:dyDescent="0.2">
      <c r="A171" s="16">
        <f t="shared" si="5"/>
        <v>167</v>
      </c>
      <c r="B171" s="56" t="s">
        <v>466</v>
      </c>
      <c r="C171" s="51" t="s">
        <v>222</v>
      </c>
      <c r="D171" s="52" t="s">
        <v>467</v>
      </c>
      <c r="E171" s="10">
        <v>46009</v>
      </c>
      <c r="F171" s="14" t="s">
        <v>207</v>
      </c>
      <c r="G171" s="50"/>
    </row>
    <row r="172" spans="1:7" ht="38.25" x14ac:dyDescent="0.2">
      <c r="A172" s="16">
        <f t="shared" si="5"/>
        <v>168</v>
      </c>
      <c r="B172" s="56" t="s">
        <v>468</v>
      </c>
      <c r="C172" s="51" t="s">
        <v>222</v>
      </c>
      <c r="D172" s="52" t="s">
        <v>469</v>
      </c>
      <c r="E172" s="10">
        <v>46038</v>
      </c>
      <c r="F172" s="14" t="s">
        <v>207</v>
      </c>
      <c r="G172" s="50"/>
    </row>
    <row r="173" spans="1:7" ht="38.25" x14ac:dyDescent="0.2">
      <c r="A173" s="16">
        <f t="shared" si="5"/>
        <v>169</v>
      </c>
      <c r="B173" s="23" t="s">
        <v>470</v>
      </c>
      <c r="C173" s="51" t="s">
        <v>222</v>
      </c>
      <c r="D173" s="52" t="s">
        <v>471</v>
      </c>
      <c r="E173" s="10">
        <v>46054</v>
      </c>
      <c r="F173" s="14" t="s">
        <v>207</v>
      </c>
      <c r="G173" s="50"/>
    </row>
    <row r="174" spans="1:7" ht="38.25" x14ac:dyDescent="0.2">
      <c r="A174" s="16">
        <f t="shared" si="5"/>
        <v>170</v>
      </c>
      <c r="B174" s="56" t="s">
        <v>472</v>
      </c>
      <c r="C174" s="51" t="s">
        <v>222</v>
      </c>
      <c r="D174" s="52" t="s">
        <v>473</v>
      </c>
      <c r="E174" s="10">
        <v>46062</v>
      </c>
      <c r="F174" s="14" t="s">
        <v>207</v>
      </c>
      <c r="G174" s="50"/>
    </row>
    <row r="175" spans="1:7" ht="38.25" x14ac:dyDescent="0.2">
      <c r="A175" s="16">
        <f t="shared" si="5"/>
        <v>171</v>
      </c>
      <c r="B175" s="56" t="s">
        <v>474</v>
      </c>
      <c r="C175" s="51" t="s">
        <v>222</v>
      </c>
      <c r="D175" s="52" t="s">
        <v>475</v>
      </c>
      <c r="E175" s="10">
        <v>46070</v>
      </c>
      <c r="F175" s="14" t="s">
        <v>207</v>
      </c>
      <c r="G175" s="50"/>
    </row>
    <row r="176" spans="1:7" ht="38.25" x14ac:dyDescent="0.2">
      <c r="A176" s="16">
        <f t="shared" si="5"/>
        <v>172</v>
      </c>
      <c r="B176" s="56" t="s">
        <v>476</v>
      </c>
      <c r="C176" s="51" t="s">
        <v>222</v>
      </c>
      <c r="D176" s="52" t="s">
        <v>477</v>
      </c>
      <c r="E176" s="10">
        <v>46070</v>
      </c>
      <c r="F176" s="14" t="s">
        <v>207</v>
      </c>
      <c r="G176" s="50"/>
    </row>
    <row r="177" spans="1:7" ht="38.25" x14ac:dyDescent="0.2">
      <c r="A177" s="16">
        <f t="shared" si="5"/>
        <v>173</v>
      </c>
      <c r="B177" s="56" t="s">
        <v>424</v>
      </c>
      <c r="C177" s="13" t="s">
        <v>222</v>
      </c>
      <c r="D177" s="52" t="s">
        <v>425</v>
      </c>
      <c r="E177" s="10">
        <v>46127</v>
      </c>
      <c r="F177" s="14" t="s">
        <v>207</v>
      </c>
      <c r="G177" s="50"/>
    </row>
    <row r="178" spans="1:7" ht="38.25" x14ac:dyDescent="0.2">
      <c r="A178" s="16">
        <f t="shared" si="5"/>
        <v>174</v>
      </c>
      <c r="B178" s="56" t="s">
        <v>426</v>
      </c>
      <c r="C178" s="13" t="s">
        <v>222</v>
      </c>
      <c r="D178" s="52" t="s">
        <v>427</v>
      </c>
      <c r="E178" s="10">
        <v>46156</v>
      </c>
      <c r="F178" s="14" t="s">
        <v>207</v>
      </c>
      <c r="G178" s="50"/>
    </row>
    <row r="179" spans="1:7" ht="38.25" x14ac:dyDescent="0.2">
      <c r="A179" s="16">
        <f t="shared" si="5"/>
        <v>175</v>
      </c>
      <c r="B179" s="56" t="s">
        <v>428</v>
      </c>
      <c r="C179" s="13" t="s">
        <v>222</v>
      </c>
      <c r="D179" s="52" t="s">
        <v>429</v>
      </c>
      <c r="E179" s="10">
        <v>46174</v>
      </c>
      <c r="F179" s="14" t="s">
        <v>207</v>
      </c>
      <c r="G179" s="50"/>
    </row>
    <row r="180" spans="1:7" ht="38.25" x14ac:dyDescent="0.2">
      <c r="A180" s="16">
        <f t="shared" si="5"/>
        <v>176</v>
      </c>
      <c r="B180" s="23" t="s">
        <v>430</v>
      </c>
      <c r="C180" s="13" t="s">
        <v>222</v>
      </c>
      <c r="D180" s="52" t="s">
        <v>431</v>
      </c>
      <c r="E180" s="10">
        <v>46170</v>
      </c>
      <c r="F180" s="14" t="s">
        <v>207</v>
      </c>
      <c r="G180" s="15" t="s">
        <v>434</v>
      </c>
    </row>
    <row r="181" spans="1:7" ht="38.25" x14ac:dyDescent="0.2">
      <c r="A181" s="16">
        <f t="shared" si="5"/>
        <v>177</v>
      </c>
      <c r="B181" s="23" t="s">
        <v>432</v>
      </c>
      <c r="C181" s="13" t="s">
        <v>222</v>
      </c>
      <c r="D181" s="52" t="s">
        <v>433</v>
      </c>
      <c r="E181" s="10">
        <v>46189</v>
      </c>
      <c r="F181" s="14" t="s">
        <v>207</v>
      </c>
      <c r="G181" s="15" t="s">
        <v>434</v>
      </c>
    </row>
    <row r="182" spans="1:7" ht="15.75" x14ac:dyDescent="0.2">
      <c r="A182" s="41"/>
      <c r="B182" s="23"/>
      <c r="C182" s="51"/>
      <c r="D182" s="52"/>
      <c r="E182" s="54"/>
      <c r="F182" s="43"/>
      <c r="G182" s="50"/>
    </row>
    <row r="183" spans="1:7" ht="15.75" x14ac:dyDescent="0.2">
      <c r="A183" s="41"/>
      <c r="B183" s="59"/>
      <c r="C183" s="51"/>
      <c r="D183" s="60"/>
      <c r="E183" s="61"/>
      <c r="F183" s="43"/>
      <c r="G183" s="50"/>
    </row>
    <row r="184" spans="1:7" ht="15.75" x14ac:dyDescent="0.2">
      <c r="A184" s="41"/>
      <c r="B184" s="23"/>
      <c r="C184" s="51"/>
      <c r="D184" s="52"/>
      <c r="E184" s="23"/>
      <c r="F184" s="43"/>
      <c r="G184" s="50"/>
    </row>
    <row r="185" spans="1:7" ht="15.75" x14ac:dyDescent="0.2">
      <c r="A185" s="41"/>
      <c r="B185" s="23"/>
      <c r="C185" s="51"/>
      <c r="D185" s="52"/>
      <c r="E185" s="54"/>
      <c r="F185" s="43"/>
      <c r="G185" s="50"/>
    </row>
    <row r="186" spans="1:7" ht="15.75" x14ac:dyDescent="0.2">
      <c r="A186" s="41"/>
      <c r="B186" s="76"/>
      <c r="C186" s="51"/>
      <c r="D186" s="52"/>
      <c r="E186" s="62"/>
      <c r="F186" s="43"/>
      <c r="G186" s="50"/>
    </row>
    <row r="187" spans="1:7" ht="15.75" x14ac:dyDescent="0.2">
      <c r="A187" s="41"/>
      <c r="B187" s="23"/>
      <c r="C187" s="51"/>
      <c r="D187" s="52"/>
      <c r="E187" s="54"/>
      <c r="F187" s="43"/>
      <c r="G187" s="50"/>
    </row>
    <row r="188" spans="1:7" ht="15.75" x14ac:dyDescent="0.2">
      <c r="A188" s="41"/>
      <c r="B188" s="23"/>
      <c r="C188" s="51"/>
      <c r="D188" s="52"/>
      <c r="E188" s="54"/>
      <c r="F188" s="43"/>
      <c r="G188" s="50"/>
    </row>
    <row r="189" spans="1:7" ht="15.75" x14ac:dyDescent="0.2">
      <c r="A189" s="41"/>
      <c r="B189" s="23"/>
      <c r="C189" s="51"/>
      <c r="D189" s="52"/>
      <c r="E189" s="54"/>
      <c r="F189" s="43"/>
      <c r="G189" s="50"/>
    </row>
    <row r="190" spans="1:7" ht="15.75" x14ac:dyDescent="0.2">
      <c r="A190" s="41"/>
      <c r="B190" s="23"/>
      <c r="C190" s="51"/>
      <c r="D190" s="52"/>
      <c r="E190" s="54"/>
      <c r="F190" s="43"/>
      <c r="G190" s="50"/>
    </row>
    <row r="191" spans="1:7" ht="15.75" x14ac:dyDescent="0.2">
      <c r="A191" s="41"/>
      <c r="B191" s="23"/>
      <c r="C191" s="51"/>
      <c r="D191" s="52"/>
      <c r="E191" s="54"/>
      <c r="F191" s="43"/>
      <c r="G191" s="50"/>
    </row>
    <row r="192" spans="1:7" ht="15.75" x14ac:dyDescent="0.2">
      <c r="A192" s="41"/>
      <c r="B192" s="77"/>
      <c r="C192" s="51"/>
      <c r="D192" s="65"/>
      <c r="E192" s="66"/>
      <c r="F192" s="43"/>
      <c r="G192" s="50"/>
    </row>
    <row r="193" spans="1:7" ht="15.75" x14ac:dyDescent="0.2">
      <c r="A193" s="41"/>
      <c r="B193" s="23"/>
      <c r="C193" s="51"/>
      <c r="D193" s="52"/>
      <c r="E193" s="54"/>
      <c r="F193" s="43"/>
      <c r="G193" s="50"/>
    </row>
    <row r="194" spans="1:7" ht="15.75" x14ac:dyDescent="0.2">
      <c r="A194" s="41"/>
      <c r="B194" s="76"/>
      <c r="C194" s="51"/>
      <c r="D194" s="52"/>
      <c r="E194" s="54"/>
      <c r="F194" s="43"/>
      <c r="G194" s="50"/>
    </row>
    <row r="195" spans="1:7" ht="15.75" x14ac:dyDescent="0.2">
      <c r="A195" s="41"/>
      <c r="B195" s="76"/>
      <c r="C195" s="51"/>
      <c r="D195" s="52"/>
      <c r="E195" s="62"/>
      <c r="F195" s="43"/>
      <c r="G195" s="50"/>
    </row>
    <row r="196" spans="1:7" ht="15.75" x14ac:dyDescent="0.2">
      <c r="A196" s="41"/>
      <c r="B196" s="23"/>
      <c r="C196" s="51"/>
      <c r="D196" s="52"/>
      <c r="E196" s="54"/>
      <c r="F196" s="43"/>
      <c r="G196" s="50"/>
    </row>
    <row r="197" spans="1:7" ht="15.75" x14ac:dyDescent="0.2">
      <c r="A197" s="41"/>
      <c r="B197" s="23"/>
      <c r="C197" s="51"/>
      <c r="D197" s="52"/>
      <c r="E197" s="54"/>
      <c r="F197" s="43"/>
      <c r="G197" s="50"/>
    </row>
    <row r="198" spans="1:7" ht="15.75" x14ac:dyDescent="0.2">
      <c r="A198" s="41"/>
      <c r="B198" s="23"/>
      <c r="C198" s="51"/>
      <c r="D198" s="52"/>
      <c r="E198" s="54"/>
      <c r="F198" s="43"/>
      <c r="G198" s="50"/>
    </row>
    <row r="199" spans="1:7" ht="15.75" x14ac:dyDescent="0.2">
      <c r="A199" s="41"/>
      <c r="B199" s="23"/>
      <c r="C199" s="51"/>
      <c r="D199" s="52"/>
      <c r="E199" s="54"/>
      <c r="F199" s="43"/>
      <c r="G199" s="50"/>
    </row>
    <row r="200" spans="1:7" ht="15.75" x14ac:dyDescent="0.2">
      <c r="A200" s="41"/>
      <c r="B200" s="23"/>
      <c r="C200" s="51"/>
      <c r="D200" s="52"/>
      <c r="E200" s="54"/>
      <c r="F200" s="43"/>
      <c r="G200" s="50"/>
    </row>
    <row r="201" spans="1:7" ht="15.75" x14ac:dyDescent="0.2">
      <c r="A201" s="41"/>
      <c r="B201" s="23"/>
      <c r="C201" s="51"/>
      <c r="D201" s="52"/>
      <c r="E201" s="54"/>
      <c r="F201" s="43"/>
      <c r="G201" s="50"/>
    </row>
    <row r="202" spans="1:7" ht="15.75" x14ac:dyDescent="0.2">
      <c r="A202" s="41"/>
      <c r="B202" s="23"/>
      <c r="C202" s="51"/>
      <c r="D202" s="52"/>
      <c r="E202" s="54"/>
      <c r="F202" s="43"/>
      <c r="G202" s="50"/>
    </row>
    <row r="203" spans="1:7" ht="15.75" x14ac:dyDescent="0.2">
      <c r="A203" s="41"/>
      <c r="B203" s="23"/>
      <c r="C203" s="51"/>
      <c r="D203" s="52"/>
      <c r="E203" s="54"/>
      <c r="F203" s="43"/>
      <c r="G203" s="50"/>
    </row>
    <row r="204" spans="1:7" ht="15.75" x14ac:dyDescent="0.2">
      <c r="A204" s="41"/>
      <c r="B204" s="23"/>
      <c r="C204" s="51"/>
      <c r="D204" s="52"/>
      <c r="E204" s="54"/>
      <c r="F204" s="43"/>
      <c r="G204" s="50"/>
    </row>
    <row r="205" spans="1:7" ht="15.75" x14ac:dyDescent="0.2">
      <c r="A205" s="41"/>
      <c r="B205" s="23"/>
      <c r="C205" s="51"/>
      <c r="D205" s="52"/>
      <c r="E205" s="54"/>
      <c r="F205" s="43"/>
      <c r="G205" s="50"/>
    </row>
    <row r="206" spans="1:7" ht="15.75" x14ac:dyDescent="0.2">
      <c r="A206" s="41"/>
      <c r="B206" s="23"/>
      <c r="C206" s="51"/>
      <c r="D206" s="52"/>
      <c r="E206" s="54"/>
      <c r="F206" s="43"/>
      <c r="G206" s="50"/>
    </row>
    <row r="207" spans="1:7" ht="15.75" x14ac:dyDescent="0.2">
      <c r="A207" s="41"/>
      <c r="B207" s="76"/>
      <c r="C207" s="51"/>
      <c r="D207" s="52"/>
      <c r="E207" s="62"/>
      <c r="F207" s="43"/>
      <c r="G207" s="50"/>
    </row>
    <row r="208" spans="1:7" ht="15.75" x14ac:dyDescent="0.2">
      <c r="A208" s="41"/>
      <c r="B208" s="23"/>
      <c r="C208" s="51"/>
      <c r="D208" s="52"/>
      <c r="E208" s="54"/>
      <c r="F208" s="43"/>
      <c r="G208" s="50"/>
    </row>
    <row r="209" spans="1:7" ht="15.75" x14ac:dyDescent="0.2">
      <c r="A209" s="41"/>
      <c r="B209" s="76"/>
      <c r="C209" s="51"/>
      <c r="D209" s="52"/>
      <c r="E209" s="62"/>
      <c r="F209" s="43"/>
      <c r="G209" s="50"/>
    </row>
    <row r="210" spans="1:7" ht="15.75" x14ac:dyDescent="0.2">
      <c r="A210" s="41"/>
      <c r="B210" s="23"/>
      <c r="C210" s="51"/>
      <c r="D210" s="52"/>
      <c r="E210" s="54"/>
      <c r="F210" s="43"/>
      <c r="G210" s="50"/>
    </row>
    <row r="211" spans="1:7" ht="15.75" x14ac:dyDescent="0.2">
      <c r="A211" s="41"/>
      <c r="B211" s="23"/>
      <c r="C211" s="51"/>
      <c r="D211" s="52"/>
      <c r="E211" s="54"/>
      <c r="F211" s="43"/>
      <c r="G211" s="50"/>
    </row>
    <row r="212" spans="1:7" ht="15.75" x14ac:dyDescent="0.2">
      <c r="A212" s="41"/>
      <c r="B212" s="23"/>
      <c r="C212" s="51"/>
      <c r="D212" s="52"/>
      <c r="E212" s="54"/>
      <c r="F212" s="43"/>
      <c r="G212" s="50"/>
    </row>
    <row r="213" spans="1:7" ht="15.75" x14ac:dyDescent="0.2">
      <c r="A213" s="41"/>
      <c r="B213" s="23"/>
      <c r="C213" s="51"/>
      <c r="D213" s="52"/>
      <c r="E213" s="54"/>
      <c r="F213" s="43"/>
      <c r="G213" s="50"/>
    </row>
    <row r="214" spans="1:7" ht="15.75" x14ac:dyDescent="0.2">
      <c r="A214" s="41"/>
      <c r="B214" s="23"/>
      <c r="C214" s="51"/>
      <c r="D214" s="52"/>
      <c r="E214" s="72"/>
      <c r="F214" s="43"/>
      <c r="G214" s="50"/>
    </row>
    <row r="215" spans="1:7" ht="15.75" x14ac:dyDescent="0.2">
      <c r="A215" s="41"/>
      <c r="B215" s="23"/>
      <c r="C215" s="51"/>
      <c r="D215" s="52"/>
      <c r="E215" s="54"/>
      <c r="F215" s="43"/>
      <c r="G215" s="50"/>
    </row>
    <row r="216" spans="1:7" ht="15.75" x14ac:dyDescent="0.2">
      <c r="A216" s="41"/>
      <c r="B216" s="23"/>
      <c r="C216" s="51"/>
      <c r="D216" s="52"/>
      <c r="E216" s="54"/>
      <c r="F216" s="43"/>
      <c r="G216" s="50"/>
    </row>
    <row r="217" spans="1:7" ht="15.75" x14ac:dyDescent="0.2">
      <c r="A217" s="41"/>
      <c r="B217" s="23"/>
      <c r="C217" s="51"/>
      <c r="D217" s="52"/>
      <c r="E217" s="54"/>
      <c r="F217" s="43"/>
      <c r="G217" s="50"/>
    </row>
    <row r="218" spans="1:7" ht="15.75" x14ac:dyDescent="0.2">
      <c r="A218" s="41"/>
      <c r="B218" s="23"/>
      <c r="C218" s="51"/>
      <c r="D218" s="52"/>
      <c r="E218" s="54"/>
      <c r="F218" s="43"/>
      <c r="G218" s="50"/>
    </row>
    <row r="219" spans="1:7" ht="15.75" x14ac:dyDescent="0.2">
      <c r="A219" s="41"/>
      <c r="B219" s="23"/>
      <c r="C219" s="51"/>
      <c r="D219" s="52"/>
      <c r="E219" s="54"/>
      <c r="F219" s="43"/>
      <c r="G219" s="50"/>
    </row>
    <row r="220" spans="1:7" ht="15.75" x14ac:dyDescent="0.2">
      <c r="A220" s="41"/>
      <c r="B220" s="23"/>
      <c r="C220" s="51"/>
      <c r="D220" s="52"/>
      <c r="E220" s="54"/>
      <c r="F220" s="43"/>
      <c r="G220" s="50"/>
    </row>
    <row r="221" spans="1:7" ht="15.75" x14ac:dyDescent="0.2">
      <c r="A221" s="41"/>
      <c r="B221" s="23"/>
      <c r="C221" s="51"/>
      <c r="D221" s="52"/>
      <c r="E221" s="54"/>
      <c r="F221" s="43"/>
      <c r="G221" s="50"/>
    </row>
    <row r="222" spans="1:7" ht="15.75" x14ac:dyDescent="0.2">
      <c r="A222" s="41"/>
      <c r="B222" s="23"/>
      <c r="C222" s="51"/>
      <c r="D222" s="52"/>
      <c r="E222" s="54"/>
      <c r="F222" s="43"/>
      <c r="G222" s="50"/>
    </row>
    <row r="223" spans="1:7" ht="15.75" x14ac:dyDescent="0.2">
      <c r="A223" s="41"/>
      <c r="B223" s="23"/>
      <c r="C223" s="51"/>
      <c r="D223" s="52"/>
      <c r="E223" s="54"/>
      <c r="F223" s="43"/>
      <c r="G223" s="50"/>
    </row>
    <row r="224" spans="1:7" ht="15.75" x14ac:dyDescent="0.2">
      <c r="A224" s="41"/>
      <c r="B224" s="23"/>
      <c r="C224" s="51"/>
      <c r="D224" s="52"/>
      <c r="E224" s="54"/>
      <c r="F224" s="43"/>
      <c r="G224" s="50"/>
    </row>
    <row r="225" spans="1:7" ht="15.75" x14ac:dyDescent="0.2">
      <c r="A225" s="41"/>
      <c r="B225" s="23"/>
      <c r="C225" s="51"/>
      <c r="D225" s="52"/>
      <c r="E225" s="54"/>
      <c r="F225" s="43"/>
      <c r="G225" s="50"/>
    </row>
    <row r="226" spans="1:7" ht="15.75" x14ac:dyDescent="0.2">
      <c r="A226" s="41"/>
      <c r="B226" s="23"/>
      <c r="C226" s="51"/>
      <c r="D226" s="52"/>
      <c r="E226" s="54"/>
      <c r="F226" s="43"/>
      <c r="G226" s="50"/>
    </row>
    <row r="227" spans="1:7" ht="15.75" x14ac:dyDescent="0.2">
      <c r="A227" s="41"/>
      <c r="B227" s="23"/>
      <c r="C227" s="51"/>
      <c r="D227" s="52"/>
      <c r="E227" s="54"/>
      <c r="F227" s="43"/>
      <c r="G227" s="50"/>
    </row>
    <row r="228" spans="1:7" ht="15.75" x14ac:dyDescent="0.2">
      <c r="A228" s="41"/>
      <c r="B228" s="23"/>
      <c r="C228" s="51"/>
      <c r="D228" s="52"/>
      <c r="E228" s="54"/>
      <c r="F228" s="43"/>
      <c r="G228" s="50"/>
    </row>
    <row r="229" spans="1:7" ht="15.75" x14ac:dyDescent="0.2">
      <c r="A229" s="41"/>
      <c r="B229" s="23"/>
      <c r="C229" s="51"/>
      <c r="D229" s="52"/>
      <c r="E229" s="54"/>
      <c r="F229" s="43"/>
      <c r="G229" s="50"/>
    </row>
    <row r="230" spans="1:7" ht="15.75" x14ac:dyDescent="0.2">
      <c r="A230" s="41"/>
      <c r="B230" s="23"/>
      <c r="C230" s="51"/>
      <c r="D230" s="52"/>
      <c r="E230" s="54"/>
      <c r="F230" s="43"/>
      <c r="G230" s="50"/>
    </row>
    <row r="231" spans="1:7" ht="15.75" x14ac:dyDescent="0.2">
      <c r="A231" s="41"/>
      <c r="B231" s="23"/>
      <c r="C231" s="51"/>
      <c r="D231" s="52"/>
      <c r="E231" s="54"/>
      <c r="F231" s="43"/>
      <c r="G231" s="50"/>
    </row>
    <row r="232" spans="1:7" ht="15.75" x14ac:dyDescent="0.2">
      <c r="A232" s="41"/>
      <c r="B232" s="23"/>
      <c r="C232" s="51"/>
      <c r="D232" s="52"/>
      <c r="E232" s="54"/>
      <c r="F232" s="43"/>
      <c r="G232" s="50"/>
    </row>
    <row r="233" spans="1:7" ht="15.75" x14ac:dyDescent="0.2">
      <c r="A233" s="41"/>
      <c r="B233" s="76"/>
      <c r="C233" s="51"/>
      <c r="D233" s="65"/>
      <c r="E233" s="61"/>
      <c r="F233" s="43"/>
      <c r="G233" s="50"/>
    </row>
    <row r="234" spans="1:7" ht="15.75" x14ac:dyDescent="0.2">
      <c r="A234" s="41"/>
      <c r="B234" s="23"/>
      <c r="C234" s="51"/>
      <c r="D234" s="52"/>
      <c r="E234" s="54"/>
      <c r="F234" s="43"/>
      <c r="G234" s="50"/>
    </row>
    <row r="235" spans="1:7" ht="15.75" x14ac:dyDescent="0.2">
      <c r="A235" s="41"/>
      <c r="B235" s="23"/>
      <c r="C235" s="51"/>
      <c r="D235" s="52"/>
      <c r="E235" s="54"/>
      <c r="F235" s="43"/>
      <c r="G235" s="50"/>
    </row>
    <row r="236" spans="1:7" ht="15.75" x14ac:dyDescent="0.2">
      <c r="A236" s="41"/>
      <c r="B236" s="23"/>
      <c r="C236" s="51"/>
      <c r="D236" s="52"/>
      <c r="E236" s="54"/>
      <c r="F236" s="43"/>
      <c r="G236" s="50"/>
    </row>
    <row r="237" spans="1:7" ht="15.75" x14ac:dyDescent="0.2">
      <c r="A237" s="41"/>
      <c r="B237" s="23"/>
      <c r="C237" s="51"/>
      <c r="D237" s="52"/>
      <c r="E237" s="54"/>
      <c r="F237" s="43"/>
      <c r="G237" s="50"/>
    </row>
    <row r="238" spans="1:7" ht="15.75" x14ac:dyDescent="0.2">
      <c r="A238" s="41"/>
      <c r="B238" s="23"/>
      <c r="C238" s="51"/>
      <c r="D238" s="52"/>
      <c r="E238" s="54"/>
      <c r="F238" s="43"/>
      <c r="G238" s="50"/>
    </row>
    <row r="239" spans="1:7" ht="15.75" x14ac:dyDescent="0.2">
      <c r="A239" s="41"/>
      <c r="B239" s="23"/>
      <c r="C239" s="51"/>
      <c r="D239" s="52"/>
      <c r="E239" s="55"/>
      <c r="F239" s="43"/>
      <c r="G239" s="50"/>
    </row>
    <row r="240" spans="1:7" ht="15.75" x14ac:dyDescent="0.2">
      <c r="A240" s="41"/>
      <c r="B240" s="23"/>
      <c r="C240" s="51"/>
      <c r="D240" s="52"/>
      <c r="E240" s="54"/>
      <c r="F240" s="43"/>
      <c r="G240" s="50"/>
    </row>
    <row r="241" spans="1:9" ht="15.75" x14ac:dyDescent="0.2">
      <c r="A241" s="41"/>
      <c r="B241" s="23"/>
      <c r="C241" s="51"/>
      <c r="D241" s="52"/>
      <c r="E241" s="54"/>
      <c r="F241" s="43"/>
      <c r="G241" s="50"/>
    </row>
    <row r="242" spans="1:9" ht="15.75" x14ac:dyDescent="0.2">
      <c r="A242" s="41"/>
      <c r="B242" s="23"/>
      <c r="C242" s="51"/>
      <c r="D242" s="52"/>
      <c r="E242" s="54"/>
      <c r="F242" s="43"/>
      <c r="G242" s="50"/>
    </row>
    <row r="243" spans="1:9" ht="15.75" x14ac:dyDescent="0.2">
      <c r="A243" s="41"/>
      <c r="B243" s="78"/>
      <c r="C243" s="51"/>
      <c r="D243" s="65"/>
      <c r="E243" s="66"/>
      <c r="F243" s="43"/>
      <c r="G243" s="50"/>
    </row>
    <row r="244" spans="1:9" ht="15.75" x14ac:dyDescent="0.2">
      <c r="A244" s="41"/>
      <c r="B244" s="23"/>
      <c r="C244" s="51"/>
      <c r="D244" s="52"/>
      <c r="E244" s="54"/>
      <c r="F244" s="43"/>
      <c r="G244" s="50"/>
    </row>
    <row r="245" spans="1:9" ht="15.75" x14ac:dyDescent="0.2">
      <c r="A245" s="41"/>
      <c r="B245" s="78"/>
      <c r="C245" s="51"/>
      <c r="D245" s="65"/>
      <c r="E245" s="66"/>
      <c r="F245" s="43"/>
      <c r="G245" s="50"/>
    </row>
    <row r="246" spans="1:9" ht="15.75" x14ac:dyDescent="0.2">
      <c r="A246" s="41"/>
      <c r="B246" s="20"/>
      <c r="C246" s="42"/>
      <c r="D246" s="20"/>
      <c r="E246" s="21"/>
      <c r="F246" s="43"/>
      <c r="G246" s="43"/>
    </row>
    <row r="247" spans="1:9" ht="15" x14ac:dyDescent="0.2">
      <c r="A247" s="3"/>
      <c r="B247" s="3" t="s">
        <v>294</v>
      </c>
      <c r="C247" s="3" t="s">
        <v>295</v>
      </c>
      <c r="D247" s="3"/>
      <c r="E247" s="3" t="s">
        <v>296</v>
      </c>
      <c r="F247" s="3"/>
      <c r="G247" s="43"/>
    </row>
    <row r="248" spans="1:9" x14ac:dyDescent="0.2">
      <c r="G248" s="43"/>
    </row>
    <row r="249" spans="1:9" x14ac:dyDescent="0.2">
      <c r="G249" s="43"/>
    </row>
    <row r="250" spans="1:9" x14ac:dyDescent="0.2">
      <c r="G250" s="43"/>
    </row>
    <row r="251" spans="1:9" x14ac:dyDescent="0.2">
      <c r="G251" s="43"/>
    </row>
    <row r="252" spans="1:9" x14ac:dyDescent="0.2">
      <c r="G252" s="1"/>
      <c r="H252" s="1"/>
      <c r="I252" s="1"/>
    </row>
    <row r="253" spans="1:9" x14ac:dyDescent="0.2">
      <c r="G253" s="1"/>
      <c r="H253" s="1"/>
      <c r="I253" s="1"/>
    </row>
    <row r="254" spans="1:9" x14ac:dyDescent="0.2">
      <c r="G254" s="1"/>
      <c r="H254" s="1"/>
      <c r="I254" s="1"/>
    </row>
    <row r="255" spans="1:9" x14ac:dyDescent="0.2">
      <c r="G255" s="1"/>
      <c r="H255" s="1"/>
      <c r="I255" s="1"/>
    </row>
    <row r="256" spans="1:9" x14ac:dyDescent="0.2">
      <c r="G256" s="1"/>
      <c r="H256" s="1"/>
      <c r="I256" s="1"/>
    </row>
    <row r="257" spans="1:9" x14ac:dyDescent="0.2">
      <c r="G257" s="1"/>
      <c r="H257" s="1"/>
      <c r="I257" s="1"/>
    </row>
    <row r="258" spans="1:9" x14ac:dyDescent="0.2">
      <c r="G258" s="1"/>
      <c r="H258" s="1"/>
      <c r="I258" s="1"/>
    </row>
    <row r="259" spans="1:9" x14ac:dyDescent="0.2">
      <c r="G259" s="1"/>
      <c r="H259" s="1"/>
      <c r="I259" s="1"/>
    </row>
    <row r="260" spans="1:9" x14ac:dyDescent="0.2">
      <c r="G260" s="1"/>
      <c r="H260" s="1"/>
      <c r="I260" s="1"/>
    </row>
    <row r="261" spans="1:9" ht="15" x14ac:dyDescent="0.2">
      <c r="A261"/>
      <c r="B261" s="3"/>
      <c r="C261" s="3"/>
      <c r="D261" s="3"/>
      <c r="E261" s="3"/>
      <c r="G261" s="1"/>
      <c r="H261" s="1"/>
      <c r="I261" s="1"/>
    </row>
    <row r="262" spans="1:9" x14ac:dyDescent="0.2">
      <c r="G262" s="1"/>
      <c r="H262" s="1"/>
      <c r="I262" s="1"/>
    </row>
    <row r="263" spans="1:9" x14ac:dyDescent="0.2">
      <c r="G263" s="1"/>
      <c r="H263" s="1"/>
      <c r="I263" s="1"/>
    </row>
    <row r="264" spans="1:9" x14ac:dyDescent="0.2">
      <c r="G264" s="1"/>
      <c r="H264" s="1"/>
      <c r="I264" s="1"/>
    </row>
    <row r="265" spans="1:9" x14ac:dyDescent="0.2">
      <c r="G265" s="1"/>
      <c r="H265" s="1"/>
      <c r="I265" s="1"/>
    </row>
    <row r="266" spans="1:9" x14ac:dyDescent="0.2">
      <c r="G266" s="1"/>
      <c r="H266" s="1"/>
      <c r="I266" s="1"/>
    </row>
    <row r="267" spans="1:9" x14ac:dyDescent="0.2">
      <c r="G267" s="1"/>
      <c r="H267" s="1"/>
      <c r="I267" s="1"/>
    </row>
    <row r="268" spans="1:9" x14ac:dyDescent="0.2">
      <c r="G268" s="1"/>
      <c r="H268" s="1"/>
      <c r="I268" s="1"/>
    </row>
    <row r="269" spans="1:9" x14ac:dyDescent="0.2">
      <c r="G269" s="1"/>
      <c r="H269" s="1"/>
      <c r="I269" s="1"/>
    </row>
    <row r="270" spans="1:9" x14ac:dyDescent="0.2">
      <c r="G270" s="1"/>
      <c r="H270" s="1"/>
      <c r="I270" s="1"/>
    </row>
    <row r="271" spans="1:9" x14ac:dyDescent="0.2">
      <c r="G271" s="1"/>
      <c r="H271" s="1"/>
      <c r="I271" s="1"/>
    </row>
    <row r="272" spans="1:9" x14ac:dyDescent="0.2">
      <c r="G272" s="1"/>
      <c r="H272" s="1"/>
      <c r="I272" s="1"/>
    </row>
    <row r="273" spans="7:9" x14ac:dyDescent="0.2">
      <c r="G273" s="1"/>
      <c r="H273" s="1"/>
      <c r="I273" s="1"/>
    </row>
    <row r="274" spans="7:9" x14ac:dyDescent="0.2">
      <c r="G274" s="1"/>
      <c r="H274" s="1"/>
      <c r="I274" s="1"/>
    </row>
    <row r="275" spans="7:9" x14ac:dyDescent="0.2">
      <c r="G275" s="1"/>
      <c r="H275" s="1"/>
      <c r="I275" s="1"/>
    </row>
    <row r="276" spans="7:9" x14ac:dyDescent="0.2">
      <c r="G276" s="1"/>
      <c r="H276" s="1"/>
      <c r="I276" s="1"/>
    </row>
    <row r="277" spans="7:9" x14ac:dyDescent="0.2">
      <c r="G277" s="1"/>
      <c r="H277" s="1"/>
      <c r="I277" s="1"/>
    </row>
    <row r="278" spans="7:9" x14ac:dyDescent="0.2">
      <c r="G278" s="1"/>
      <c r="H278" s="1"/>
      <c r="I278" s="1"/>
    </row>
    <row r="279" spans="7:9" x14ac:dyDescent="0.2">
      <c r="G279" s="1"/>
      <c r="H279" s="1"/>
      <c r="I279" s="1"/>
    </row>
    <row r="280" spans="7:9" x14ac:dyDescent="0.2">
      <c r="G280" s="1"/>
      <c r="H280" s="1"/>
      <c r="I280" s="1"/>
    </row>
    <row r="281" spans="7:9" x14ac:dyDescent="0.2">
      <c r="G281" s="1"/>
      <c r="H281" s="1"/>
      <c r="I281" s="1"/>
    </row>
    <row r="282" spans="7:9" x14ac:dyDescent="0.2">
      <c r="G282" s="1"/>
      <c r="H282" s="1"/>
      <c r="I282" s="1"/>
    </row>
    <row r="283" spans="7:9" x14ac:dyDescent="0.2">
      <c r="G283" s="1"/>
      <c r="H283" s="1"/>
      <c r="I283" s="1"/>
    </row>
    <row r="284" spans="7:9" x14ac:dyDescent="0.2">
      <c r="G284" s="1"/>
      <c r="H284" s="1"/>
      <c r="I284" s="1"/>
    </row>
    <row r="285" spans="7:9" x14ac:dyDescent="0.2">
      <c r="G285" s="1"/>
      <c r="H285" s="1"/>
      <c r="I285" s="1"/>
    </row>
    <row r="286" spans="7:9" x14ac:dyDescent="0.2">
      <c r="G286" s="1"/>
      <c r="H286" s="1"/>
      <c r="I286" s="1"/>
    </row>
    <row r="287" spans="7:9" x14ac:dyDescent="0.2">
      <c r="G287" s="1"/>
      <c r="H287" s="1"/>
      <c r="I287" s="1"/>
    </row>
    <row r="288" spans="7:9" x14ac:dyDescent="0.2">
      <c r="G288" s="1"/>
      <c r="H288" s="1"/>
      <c r="I288" s="1"/>
    </row>
    <row r="289" spans="7:9" x14ac:dyDescent="0.2">
      <c r="G289" s="1"/>
      <c r="H289" s="1"/>
      <c r="I289" s="1"/>
    </row>
    <row r="290" spans="7:9" x14ac:dyDescent="0.2">
      <c r="G290" s="1"/>
      <c r="H290" s="1"/>
      <c r="I290" s="1"/>
    </row>
    <row r="291" spans="7:9" x14ac:dyDescent="0.2">
      <c r="G291" s="1"/>
      <c r="H291" s="1"/>
      <c r="I291" s="1"/>
    </row>
  </sheetData>
  <autoFilter ref="A4:G243" xr:uid="{C22CE931-E42B-45EE-B861-62D573A2DE9E}"/>
  <mergeCells count="1">
    <mergeCell ref="A2:E2"/>
  </mergeCells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4667-9AC8-4347-9E9D-BDB0830A148F}">
  <dimension ref="A2:I277"/>
  <sheetViews>
    <sheetView view="pageBreakPreview" zoomScaleNormal="100" zoomScaleSheetLayoutView="100" workbookViewId="0">
      <pane xSplit="2" ySplit="4" topLeftCell="C222" activePane="bottomRight" state="frozen"/>
      <selection pane="topRight" activeCell="C1" sqref="C1"/>
      <selection pane="bottomLeft" activeCell="A5" sqref="A5"/>
      <selection pane="bottomRight" activeCell="D209" sqref="D209"/>
    </sheetView>
  </sheetViews>
  <sheetFormatPr defaultRowHeight="12.75" x14ac:dyDescent="0.2"/>
  <cols>
    <col min="1" max="1" width="12.7109375" style="1" bestFit="1" customWidth="1"/>
    <col min="2" max="2" width="53.5703125" style="1" customWidth="1"/>
    <col min="3" max="3" width="19.5703125" style="1" customWidth="1"/>
    <col min="4" max="4" width="18.7109375" style="1" customWidth="1"/>
    <col min="5" max="5" width="20.85546875" style="1" customWidth="1"/>
    <col min="6" max="6" width="44.7109375" style="1" customWidth="1"/>
    <col min="7" max="7" width="21.85546875" style="15" customWidth="1"/>
  </cols>
  <sheetData>
    <row r="2" spans="1:7" ht="18.75" x14ac:dyDescent="0.3">
      <c r="A2" s="79" t="s">
        <v>483</v>
      </c>
      <c r="B2" s="79"/>
      <c r="C2" s="79"/>
      <c r="D2" s="79"/>
      <c r="E2" s="79"/>
    </row>
    <row r="3" spans="1:7" x14ac:dyDescent="0.2">
      <c r="A3" s="2"/>
      <c r="B3" s="2"/>
      <c r="C3" s="2"/>
      <c r="D3" s="2"/>
      <c r="E3" s="2"/>
    </row>
    <row r="4" spans="1:7" ht="30" x14ac:dyDescent="0.2">
      <c r="A4" s="4" t="s">
        <v>0</v>
      </c>
      <c r="B4" s="4" t="s">
        <v>230</v>
      </c>
      <c r="C4" s="4" t="s">
        <v>224</v>
      </c>
      <c r="D4" s="4" t="s">
        <v>38</v>
      </c>
      <c r="E4" s="4" t="s">
        <v>39</v>
      </c>
      <c r="F4" s="4" t="s">
        <v>220</v>
      </c>
      <c r="G4" s="48" t="s">
        <v>229</v>
      </c>
    </row>
    <row r="5" spans="1:7" ht="38.25" x14ac:dyDescent="0.2">
      <c r="A5" s="16">
        <v>1</v>
      </c>
      <c r="B5" s="57" t="s">
        <v>97</v>
      </c>
      <c r="C5" s="13" t="s">
        <v>222</v>
      </c>
      <c r="D5" s="11" t="s">
        <v>98</v>
      </c>
      <c r="E5" s="12">
        <v>42064</v>
      </c>
      <c r="F5" s="14" t="s">
        <v>199</v>
      </c>
      <c r="G5" s="15">
        <v>123839.36</v>
      </c>
    </row>
    <row r="6" spans="1:7" ht="38.25" x14ac:dyDescent="0.2">
      <c r="A6" s="16">
        <f t="shared" ref="A6:A69" si="0">A5+1</f>
        <v>2</v>
      </c>
      <c r="B6" s="57" t="s">
        <v>196</v>
      </c>
      <c r="C6" s="13" t="s">
        <v>222</v>
      </c>
      <c r="D6" s="11" t="s">
        <v>14</v>
      </c>
      <c r="E6" s="12">
        <v>42856</v>
      </c>
      <c r="F6" s="14" t="s">
        <v>202</v>
      </c>
      <c r="G6" s="15">
        <v>5585806.0700000003</v>
      </c>
    </row>
    <row r="7" spans="1:7" ht="31.5" x14ac:dyDescent="0.2">
      <c r="A7" s="16">
        <f t="shared" si="0"/>
        <v>3</v>
      </c>
      <c r="B7" s="57" t="s">
        <v>154</v>
      </c>
      <c r="C7" s="13" t="s">
        <v>222</v>
      </c>
      <c r="D7" s="11" t="s">
        <v>155</v>
      </c>
      <c r="E7" s="12">
        <v>39814</v>
      </c>
      <c r="F7" s="17" t="s">
        <v>218</v>
      </c>
      <c r="G7" s="15">
        <v>23579059.289999999</v>
      </c>
    </row>
    <row r="8" spans="1:7" ht="38.25" x14ac:dyDescent="0.2">
      <c r="A8" s="16">
        <f t="shared" si="0"/>
        <v>4</v>
      </c>
      <c r="B8" s="64" t="s">
        <v>221</v>
      </c>
      <c r="C8" s="13" t="s">
        <v>222</v>
      </c>
      <c r="D8" s="11" t="s">
        <v>223</v>
      </c>
      <c r="E8" s="12">
        <v>39630</v>
      </c>
      <c r="F8" s="18" t="s">
        <v>219</v>
      </c>
      <c r="G8" s="15">
        <v>35194024.07</v>
      </c>
    </row>
    <row r="9" spans="1:7" ht="31.5" x14ac:dyDescent="0.2">
      <c r="A9" s="16">
        <f t="shared" si="0"/>
        <v>5</v>
      </c>
      <c r="B9" s="57" t="s">
        <v>156</v>
      </c>
      <c r="C9" s="13" t="s">
        <v>222</v>
      </c>
      <c r="D9" s="11" t="s">
        <v>157</v>
      </c>
      <c r="E9" s="12">
        <v>39814</v>
      </c>
      <c r="F9" s="17" t="s">
        <v>218</v>
      </c>
      <c r="G9" s="15">
        <v>1571208.11</v>
      </c>
    </row>
    <row r="10" spans="1:7" ht="31.5" x14ac:dyDescent="0.2">
      <c r="A10" s="16">
        <f t="shared" si="0"/>
        <v>6</v>
      </c>
      <c r="B10" s="57" t="s">
        <v>158</v>
      </c>
      <c r="C10" s="13" t="s">
        <v>222</v>
      </c>
      <c r="D10" s="11" t="s">
        <v>159</v>
      </c>
      <c r="E10" s="12">
        <v>39814</v>
      </c>
      <c r="F10" s="17" t="s">
        <v>415</v>
      </c>
      <c r="G10" s="15">
        <v>107980137.56999999</v>
      </c>
    </row>
    <row r="11" spans="1:7" ht="38.25" x14ac:dyDescent="0.2">
      <c r="A11" s="16">
        <f t="shared" si="0"/>
        <v>7</v>
      </c>
      <c r="B11" s="57" t="s">
        <v>18</v>
      </c>
      <c r="C11" s="13" t="s">
        <v>222</v>
      </c>
      <c r="D11" s="11" t="s">
        <v>19</v>
      </c>
      <c r="E11" s="12">
        <v>39814</v>
      </c>
      <c r="F11" s="14" t="s">
        <v>199</v>
      </c>
      <c r="G11" s="15">
        <v>1489912.81</v>
      </c>
    </row>
    <row r="12" spans="1:7" ht="31.5" x14ac:dyDescent="0.2">
      <c r="A12" s="16">
        <f t="shared" si="0"/>
        <v>8</v>
      </c>
      <c r="B12" s="57" t="s">
        <v>150</v>
      </c>
      <c r="C12" s="13" t="s">
        <v>222</v>
      </c>
      <c r="D12" s="11" t="s">
        <v>151</v>
      </c>
      <c r="E12" s="12">
        <v>39814</v>
      </c>
      <c r="F12" s="17" t="s">
        <v>218</v>
      </c>
      <c r="G12" s="15">
        <v>280771.15000000002</v>
      </c>
    </row>
    <row r="13" spans="1:7" ht="38.25" x14ac:dyDescent="0.2">
      <c r="A13" s="16">
        <f t="shared" si="0"/>
        <v>9</v>
      </c>
      <c r="B13" s="58" t="s">
        <v>304</v>
      </c>
      <c r="C13" s="13" t="s">
        <v>222</v>
      </c>
      <c r="D13" s="11" t="s">
        <v>191</v>
      </c>
      <c r="E13" s="12">
        <v>43466</v>
      </c>
      <c r="F13" s="14" t="s">
        <v>206</v>
      </c>
      <c r="G13" s="15">
        <v>1039205</v>
      </c>
    </row>
    <row r="14" spans="1:7" ht="38.25" x14ac:dyDescent="0.2">
      <c r="A14" s="16">
        <f t="shared" si="0"/>
        <v>10</v>
      </c>
      <c r="B14" s="58" t="s">
        <v>52</v>
      </c>
      <c r="C14" s="13" t="s">
        <v>222</v>
      </c>
      <c r="D14" s="11" t="s">
        <v>53</v>
      </c>
      <c r="E14" s="12">
        <v>39814</v>
      </c>
      <c r="F14" s="14" t="s">
        <v>199</v>
      </c>
      <c r="G14" s="15">
        <v>5931667.4500000002</v>
      </c>
    </row>
    <row r="15" spans="1:7" ht="38.25" x14ac:dyDescent="0.2">
      <c r="A15" s="16">
        <f t="shared" si="0"/>
        <v>11</v>
      </c>
      <c r="B15" s="58" t="s">
        <v>52</v>
      </c>
      <c r="C15" s="13" t="s">
        <v>222</v>
      </c>
      <c r="D15" s="11" t="s">
        <v>382</v>
      </c>
      <c r="E15" s="12">
        <v>45170</v>
      </c>
      <c r="F15" s="14" t="s">
        <v>199</v>
      </c>
      <c r="G15" s="15">
        <v>531692.1</v>
      </c>
    </row>
    <row r="16" spans="1:7" ht="38.25" x14ac:dyDescent="0.2">
      <c r="A16" s="16">
        <f t="shared" si="0"/>
        <v>12</v>
      </c>
      <c r="B16" s="9" t="s">
        <v>335</v>
      </c>
      <c r="C16" s="13" t="s">
        <v>222</v>
      </c>
      <c r="D16" s="11" t="s">
        <v>336</v>
      </c>
      <c r="E16" s="12">
        <v>44197</v>
      </c>
      <c r="F16" s="14" t="s">
        <v>207</v>
      </c>
      <c r="G16" s="15">
        <v>14141.46</v>
      </c>
    </row>
    <row r="17" spans="1:7" ht="38.25" x14ac:dyDescent="0.2">
      <c r="A17" s="16">
        <f t="shared" si="0"/>
        <v>13</v>
      </c>
      <c r="B17" s="58" t="s">
        <v>383</v>
      </c>
      <c r="C17" s="13" t="s">
        <v>222</v>
      </c>
      <c r="D17" s="11" t="s">
        <v>58</v>
      </c>
      <c r="E17" s="12">
        <v>42309</v>
      </c>
      <c r="F17" s="14" t="s">
        <v>199</v>
      </c>
      <c r="G17" s="15">
        <v>340208.73</v>
      </c>
    </row>
    <row r="18" spans="1:7" ht="38.25" x14ac:dyDescent="0.2">
      <c r="A18" s="16">
        <f t="shared" si="0"/>
        <v>14</v>
      </c>
      <c r="B18" s="57" t="s">
        <v>69</v>
      </c>
      <c r="C18" s="13" t="s">
        <v>222</v>
      </c>
      <c r="D18" s="19" t="s">
        <v>339</v>
      </c>
      <c r="E18" s="12">
        <v>43891</v>
      </c>
      <c r="F18" s="14" t="s">
        <v>207</v>
      </c>
      <c r="G18" s="15">
        <v>5660026.5199999996</v>
      </c>
    </row>
    <row r="19" spans="1:7" ht="38.25" x14ac:dyDescent="0.2">
      <c r="A19" s="16">
        <f t="shared" si="0"/>
        <v>15</v>
      </c>
      <c r="B19" s="57" t="s">
        <v>214</v>
      </c>
      <c r="C19" s="13" t="s">
        <v>222</v>
      </c>
      <c r="D19" s="12" t="s">
        <v>70</v>
      </c>
      <c r="E19" s="12">
        <v>39814</v>
      </c>
      <c r="F19" s="14" t="s">
        <v>207</v>
      </c>
      <c r="G19" s="15">
        <v>8309907.1799999997</v>
      </c>
    </row>
    <row r="20" spans="1:7" ht="38.25" x14ac:dyDescent="0.2">
      <c r="A20" s="16">
        <f t="shared" si="0"/>
        <v>16</v>
      </c>
      <c r="B20" s="57" t="s">
        <v>104</v>
      </c>
      <c r="C20" s="13" t="s">
        <v>222</v>
      </c>
      <c r="D20" s="11" t="s">
        <v>105</v>
      </c>
      <c r="E20" s="12">
        <v>42856</v>
      </c>
      <c r="F20" s="14" t="s">
        <v>199</v>
      </c>
      <c r="G20" s="15">
        <v>432618.23999999999</v>
      </c>
    </row>
    <row r="21" spans="1:7" ht="38.25" x14ac:dyDescent="0.2">
      <c r="A21" s="16">
        <f t="shared" si="0"/>
        <v>17</v>
      </c>
      <c r="B21" s="57" t="s">
        <v>104</v>
      </c>
      <c r="C21" s="13" t="s">
        <v>222</v>
      </c>
      <c r="D21" s="11" t="s">
        <v>106</v>
      </c>
      <c r="E21" s="12">
        <v>40725</v>
      </c>
      <c r="F21" s="14" t="s">
        <v>207</v>
      </c>
      <c r="G21" s="15">
        <v>80661.279999999999</v>
      </c>
    </row>
    <row r="22" spans="1:7" ht="38.25" x14ac:dyDescent="0.2">
      <c r="A22" s="16">
        <f t="shared" si="0"/>
        <v>18</v>
      </c>
      <c r="B22" s="57" t="s">
        <v>478</v>
      </c>
      <c r="C22" s="13" t="s">
        <v>222</v>
      </c>
      <c r="D22" s="11" t="s">
        <v>315</v>
      </c>
      <c r="E22" s="12">
        <v>44146</v>
      </c>
      <c r="F22" s="14" t="s">
        <v>207</v>
      </c>
      <c r="G22" s="15">
        <v>47770.799999999996</v>
      </c>
    </row>
    <row r="23" spans="1:7" ht="31.5" x14ac:dyDescent="0.2">
      <c r="A23" s="16">
        <f t="shared" si="0"/>
        <v>19</v>
      </c>
      <c r="B23" s="57" t="s">
        <v>160</v>
      </c>
      <c r="C23" s="13" t="s">
        <v>222</v>
      </c>
      <c r="D23" s="11" t="s">
        <v>161</v>
      </c>
      <c r="E23" s="12">
        <v>39814</v>
      </c>
      <c r="F23" s="17" t="s">
        <v>218</v>
      </c>
      <c r="G23" s="15">
        <v>10779245.970000001</v>
      </c>
    </row>
    <row r="24" spans="1:7" ht="38.25" x14ac:dyDescent="0.2">
      <c r="A24" s="16">
        <f t="shared" si="0"/>
        <v>20</v>
      </c>
      <c r="B24" s="57" t="s">
        <v>164</v>
      </c>
      <c r="C24" s="13" t="s">
        <v>222</v>
      </c>
      <c r="D24" s="11" t="s">
        <v>165</v>
      </c>
      <c r="E24" s="12">
        <v>43252</v>
      </c>
      <c r="F24" s="14" t="s">
        <v>207</v>
      </c>
      <c r="G24" s="15">
        <v>41586.86</v>
      </c>
    </row>
    <row r="25" spans="1:7" ht="38.25" x14ac:dyDescent="0.2">
      <c r="A25" s="16">
        <f t="shared" si="0"/>
        <v>21</v>
      </c>
      <c r="B25" s="58" t="s">
        <v>176</v>
      </c>
      <c r="C25" s="13" t="s">
        <v>222</v>
      </c>
      <c r="D25" s="11" t="s">
        <v>177</v>
      </c>
      <c r="E25" s="12">
        <v>43374</v>
      </c>
      <c r="F25" s="14" t="s">
        <v>199</v>
      </c>
      <c r="G25" s="15">
        <v>19166.330000000002</v>
      </c>
    </row>
    <row r="26" spans="1:7" ht="38.25" x14ac:dyDescent="0.2">
      <c r="A26" s="16">
        <f t="shared" si="0"/>
        <v>22</v>
      </c>
      <c r="B26" s="58" t="s">
        <v>85</v>
      </c>
      <c r="C26" s="13" t="s">
        <v>222</v>
      </c>
      <c r="D26" s="9" t="s">
        <v>227</v>
      </c>
      <c r="E26" s="10">
        <v>43128</v>
      </c>
      <c r="F26" s="14" t="s">
        <v>199</v>
      </c>
      <c r="G26" s="15">
        <v>708747.35</v>
      </c>
    </row>
    <row r="27" spans="1:7" ht="38.25" x14ac:dyDescent="0.2">
      <c r="A27" s="16">
        <f t="shared" si="0"/>
        <v>23</v>
      </c>
      <c r="B27" s="58" t="s">
        <v>113</v>
      </c>
      <c r="C27" s="13" t="s">
        <v>222</v>
      </c>
      <c r="D27" s="11" t="s">
        <v>3</v>
      </c>
      <c r="E27" s="12">
        <v>42921</v>
      </c>
      <c r="F27" s="14" t="s">
        <v>199</v>
      </c>
      <c r="G27" s="15">
        <v>15278</v>
      </c>
    </row>
    <row r="28" spans="1:7" ht="38.25" x14ac:dyDescent="0.2">
      <c r="A28" s="16">
        <f t="shared" si="0"/>
        <v>24</v>
      </c>
      <c r="B28" s="58" t="s">
        <v>128</v>
      </c>
      <c r="C28" s="13" t="s">
        <v>222</v>
      </c>
      <c r="D28" s="11" t="s">
        <v>129</v>
      </c>
      <c r="E28" s="12">
        <v>42767</v>
      </c>
      <c r="F28" s="14" t="s">
        <v>199</v>
      </c>
      <c r="G28" s="15">
        <v>47090.3</v>
      </c>
    </row>
    <row r="29" spans="1:7" ht="38.25" x14ac:dyDescent="0.2">
      <c r="A29" s="16">
        <f t="shared" si="0"/>
        <v>25</v>
      </c>
      <c r="B29" s="58" t="s">
        <v>120</v>
      </c>
      <c r="C29" s="13" t="s">
        <v>222</v>
      </c>
      <c r="D29" s="9" t="s">
        <v>297</v>
      </c>
      <c r="E29" s="10">
        <v>43313</v>
      </c>
      <c r="F29" s="14" t="s">
        <v>199</v>
      </c>
      <c r="G29" s="15">
        <v>17622.98</v>
      </c>
    </row>
    <row r="30" spans="1:7" ht="38.25" x14ac:dyDescent="0.2">
      <c r="A30" s="16">
        <f t="shared" si="0"/>
        <v>26</v>
      </c>
      <c r="B30" s="58" t="s">
        <v>190</v>
      </c>
      <c r="C30" s="13" t="s">
        <v>222</v>
      </c>
      <c r="D30" s="9" t="s">
        <v>299</v>
      </c>
      <c r="E30" s="10">
        <v>43466</v>
      </c>
      <c r="F30" s="14" t="s">
        <v>199</v>
      </c>
      <c r="G30" s="15">
        <v>103680.02</v>
      </c>
    </row>
    <row r="31" spans="1:7" ht="38.25" x14ac:dyDescent="0.2">
      <c r="A31" s="16">
        <f t="shared" si="0"/>
        <v>27</v>
      </c>
      <c r="B31" s="58" t="s">
        <v>147</v>
      </c>
      <c r="C31" s="13" t="s">
        <v>222</v>
      </c>
      <c r="D31" s="11" t="s">
        <v>23</v>
      </c>
      <c r="E31" s="12">
        <v>40680</v>
      </c>
      <c r="F31" s="14" t="s">
        <v>199</v>
      </c>
      <c r="G31" s="15">
        <v>526643.31000000006</v>
      </c>
    </row>
    <row r="32" spans="1:7" ht="38.25" x14ac:dyDescent="0.2">
      <c r="A32" s="16">
        <f t="shared" si="0"/>
        <v>28</v>
      </c>
      <c r="B32" s="58" t="s">
        <v>61</v>
      </c>
      <c r="C32" s="13" t="s">
        <v>222</v>
      </c>
      <c r="D32" s="11" t="s">
        <v>62</v>
      </c>
      <c r="E32" s="12">
        <v>42887</v>
      </c>
      <c r="F32" s="14" t="s">
        <v>199</v>
      </c>
      <c r="G32" s="15">
        <v>89383.039999999994</v>
      </c>
    </row>
    <row r="33" spans="1:7" ht="38.25" x14ac:dyDescent="0.2">
      <c r="A33" s="16">
        <f t="shared" si="0"/>
        <v>29</v>
      </c>
      <c r="B33" s="58" t="s">
        <v>365</v>
      </c>
      <c r="C33" s="13" t="s">
        <v>222</v>
      </c>
      <c r="D33" s="9" t="s">
        <v>366</v>
      </c>
      <c r="E33" s="10">
        <v>45444</v>
      </c>
      <c r="F33" s="14" t="s">
        <v>207</v>
      </c>
      <c r="G33" s="15">
        <v>684005.81</v>
      </c>
    </row>
    <row r="34" spans="1:7" ht="38.25" x14ac:dyDescent="0.2">
      <c r="A34" s="16">
        <f t="shared" si="0"/>
        <v>30</v>
      </c>
      <c r="B34" s="57" t="s">
        <v>215</v>
      </c>
      <c r="C34" s="13" t="s">
        <v>222</v>
      </c>
      <c r="D34" s="11" t="s">
        <v>216</v>
      </c>
      <c r="E34" s="12">
        <v>43647</v>
      </c>
      <c r="F34" s="14" t="s">
        <v>207</v>
      </c>
      <c r="G34" s="15">
        <v>216787.68</v>
      </c>
    </row>
    <row r="35" spans="1:7" ht="38.25" x14ac:dyDescent="0.2">
      <c r="A35" s="16">
        <f t="shared" si="0"/>
        <v>31</v>
      </c>
      <c r="B35" s="57" t="s">
        <v>211</v>
      </c>
      <c r="C35" s="13" t="s">
        <v>222</v>
      </c>
      <c r="D35" s="11" t="s">
        <v>225</v>
      </c>
      <c r="E35" s="12">
        <v>43617</v>
      </c>
      <c r="F35" s="30" t="s">
        <v>226</v>
      </c>
      <c r="G35" s="15">
        <v>782158.39</v>
      </c>
    </row>
    <row r="36" spans="1:7" ht="38.25" x14ac:dyDescent="0.2">
      <c r="A36" s="16">
        <f t="shared" si="0"/>
        <v>32</v>
      </c>
      <c r="B36" s="57" t="s">
        <v>487</v>
      </c>
      <c r="C36" s="13" t="s">
        <v>222</v>
      </c>
      <c r="D36" s="11" t="s">
        <v>381</v>
      </c>
      <c r="E36" s="12">
        <v>44498</v>
      </c>
      <c r="F36" s="14" t="s">
        <v>199</v>
      </c>
      <c r="G36" s="15">
        <v>39408387.100000001</v>
      </c>
    </row>
    <row r="37" spans="1:7" ht="38.25" x14ac:dyDescent="0.2">
      <c r="A37" s="16">
        <f t="shared" si="0"/>
        <v>33</v>
      </c>
      <c r="B37" s="57" t="s">
        <v>134</v>
      </c>
      <c r="C37" s="13" t="s">
        <v>222</v>
      </c>
      <c r="D37" s="11" t="s">
        <v>135</v>
      </c>
      <c r="E37" s="12">
        <v>42767</v>
      </c>
      <c r="F37" s="14" t="s">
        <v>199</v>
      </c>
      <c r="G37" s="15">
        <v>89359.12</v>
      </c>
    </row>
    <row r="38" spans="1:7" ht="38.25" x14ac:dyDescent="0.2">
      <c r="A38" s="16">
        <f t="shared" si="0"/>
        <v>34</v>
      </c>
      <c r="B38" s="58" t="s">
        <v>95</v>
      </c>
      <c r="C38" s="13" t="s">
        <v>222</v>
      </c>
      <c r="D38" s="9" t="s">
        <v>96</v>
      </c>
      <c r="E38" s="10">
        <v>43101</v>
      </c>
      <c r="F38" s="14" t="s">
        <v>199</v>
      </c>
      <c r="G38" s="15">
        <v>611001.49</v>
      </c>
    </row>
    <row r="39" spans="1:7" ht="31.5" x14ac:dyDescent="0.2">
      <c r="A39" s="16">
        <f t="shared" si="0"/>
        <v>35</v>
      </c>
      <c r="B39" s="58" t="s">
        <v>93</v>
      </c>
      <c r="C39" s="13" t="s">
        <v>222</v>
      </c>
      <c r="D39" s="9" t="s">
        <v>94</v>
      </c>
      <c r="E39" s="10">
        <v>43101</v>
      </c>
      <c r="F39" s="14" t="s">
        <v>200</v>
      </c>
      <c r="G39" s="15">
        <v>152828.14000000001</v>
      </c>
    </row>
    <row r="40" spans="1:7" ht="38.25" x14ac:dyDescent="0.2">
      <c r="A40" s="16">
        <f t="shared" si="0"/>
        <v>36</v>
      </c>
      <c r="B40" s="58" t="s">
        <v>99</v>
      </c>
      <c r="C40" s="13" t="s">
        <v>222</v>
      </c>
      <c r="D40" s="11" t="s">
        <v>100</v>
      </c>
      <c r="E40" s="12">
        <v>43009</v>
      </c>
      <c r="F40" s="14" t="s">
        <v>207</v>
      </c>
      <c r="G40" s="15">
        <v>657146.6</v>
      </c>
    </row>
    <row r="41" spans="1:7" ht="38.25" x14ac:dyDescent="0.2">
      <c r="A41" s="16">
        <f t="shared" si="0"/>
        <v>37</v>
      </c>
      <c r="B41" s="58" t="s">
        <v>72</v>
      </c>
      <c r="C41" s="13" t="s">
        <v>222</v>
      </c>
      <c r="D41" s="11" t="s">
        <v>103</v>
      </c>
      <c r="E41" s="12">
        <v>39814</v>
      </c>
      <c r="F41" s="14" t="s">
        <v>199</v>
      </c>
      <c r="G41" s="15">
        <v>665676.96</v>
      </c>
    </row>
    <row r="42" spans="1:7" ht="38.25" x14ac:dyDescent="0.2">
      <c r="A42" s="16">
        <f t="shared" si="0"/>
        <v>38</v>
      </c>
      <c r="B42" s="58" t="s">
        <v>168</v>
      </c>
      <c r="C42" s="13" t="s">
        <v>222</v>
      </c>
      <c r="D42" s="9" t="s">
        <v>169</v>
      </c>
      <c r="E42" s="10">
        <v>43297</v>
      </c>
      <c r="F42" s="14" t="s">
        <v>207</v>
      </c>
      <c r="G42" s="15">
        <v>168931.68</v>
      </c>
    </row>
    <row r="43" spans="1:7" ht="38.25" x14ac:dyDescent="0.2">
      <c r="A43" s="16">
        <f t="shared" si="0"/>
        <v>39</v>
      </c>
      <c r="B43" s="69" t="s">
        <v>145</v>
      </c>
      <c r="C43" s="13" t="s">
        <v>222</v>
      </c>
      <c r="D43" s="9" t="s">
        <v>146</v>
      </c>
      <c r="E43" s="10">
        <v>42826</v>
      </c>
      <c r="F43" s="14" t="s">
        <v>199</v>
      </c>
      <c r="G43" s="15">
        <v>1835839.91</v>
      </c>
    </row>
    <row r="44" spans="1:7" ht="38.25" x14ac:dyDescent="0.2">
      <c r="A44" s="16">
        <f t="shared" si="0"/>
        <v>40</v>
      </c>
      <c r="B44" s="57" t="s">
        <v>152</v>
      </c>
      <c r="C44" s="13" t="s">
        <v>222</v>
      </c>
      <c r="D44" s="9" t="s">
        <v>153</v>
      </c>
      <c r="E44" s="10">
        <v>39934</v>
      </c>
      <c r="F44" s="17" t="s">
        <v>217</v>
      </c>
      <c r="G44" s="15">
        <v>1937420.64</v>
      </c>
    </row>
    <row r="45" spans="1:7" ht="38.25" x14ac:dyDescent="0.2">
      <c r="A45" s="16">
        <f t="shared" si="0"/>
        <v>41</v>
      </c>
      <c r="B45" s="57" t="s">
        <v>312</v>
      </c>
      <c r="C45" s="13" t="s">
        <v>222</v>
      </c>
      <c r="D45" s="52" t="s">
        <v>437</v>
      </c>
      <c r="E45" s="55">
        <v>45505</v>
      </c>
      <c r="F45" s="14" t="s">
        <v>207</v>
      </c>
      <c r="G45" s="15">
        <v>32757.43</v>
      </c>
    </row>
    <row r="46" spans="1:7" ht="38.25" x14ac:dyDescent="0.2">
      <c r="A46" s="16">
        <f t="shared" si="0"/>
        <v>42</v>
      </c>
      <c r="B46" s="58" t="s">
        <v>86</v>
      </c>
      <c r="C46" s="13" t="s">
        <v>222</v>
      </c>
      <c r="D46" s="9" t="s">
        <v>92</v>
      </c>
      <c r="E46" s="10">
        <v>39814</v>
      </c>
      <c r="F46" s="14" t="s">
        <v>207</v>
      </c>
      <c r="G46" s="15">
        <v>848295.45</v>
      </c>
    </row>
    <row r="47" spans="1:7" ht="38.25" x14ac:dyDescent="0.2">
      <c r="A47" s="16">
        <f t="shared" si="0"/>
        <v>43</v>
      </c>
      <c r="B47" s="58" t="s">
        <v>367</v>
      </c>
      <c r="C47" s="13" t="s">
        <v>222</v>
      </c>
      <c r="D47" s="9" t="s">
        <v>368</v>
      </c>
      <c r="E47" s="10">
        <v>45444</v>
      </c>
      <c r="F47" s="14" t="s">
        <v>207</v>
      </c>
      <c r="G47" s="15">
        <v>1311924.3799999999</v>
      </c>
    </row>
    <row r="48" spans="1:7" ht="38.25" x14ac:dyDescent="0.2">
      <c r="A48" s="16">
        <f t="shared" si="0"/>
        <v>44</v>
      </c>
      <c r="B48" s="58" t="s">
        <v>124</v>
      </c>
      <c r="C48" s="13" t="s">
        <v>222</v>
      </c>
      <c r="D48" s="9" t="s">
        <v>125</v>
      </c>
      <c r="E48" s="10">
        <v>42767</v>
      </c>
      <c r="F48" s="14" t="s">
        <v>199</v>
      </c>
      <c r="G48" s="15">
        <v>69498.87</v>
      </c>
    </row>
    <row r="49" spans="1:7" ht="38.25" x14ac:dyDescent="0.2">
      <c r="A49" s="16">
        <f t="shared" si="0"/>
        <v>45</v>
      </c>
      <c r="B49" s="57" t="s">
        <v>87</v>
      </c>
      <c r="C49" s="13" t="s">
        <v>222</v>
      </c>
      <c r="D49" s="11" t="s">
        <v>90</v>
      </c>
      <c r="E49" s="10">
        <v>39814</v>
      </c>
      <c r="F49" s="14" t="s">
        <v>199</v>
      </c>
      <c r="G49" s="15">
        <v>3900491.32</v>
      </c>
    </row>
    <row r="50" spans="1:7" ht="38.25" x14ac:dyDescent="0.2">
      <c r="A50" s="16">
        <f t="shared" si="0"/>
        <v>46</v>
      </c>
      <c r="B50" s="71" t="s">
        <v>88</v>
      </c>
      <c r="C50" s="13" t="s">
        <v>222</v>
      </c>
      <c r="D50" s="9" t="s">
        <v>91</v>
      </c>
      <c r="E50" s="10">
        <v>42401</v>
      </c>
      <c r="F50" s="14" t="s">
        <v>199</v>
      </c>
      <c r="G50" s="15">
        <v>45834.080000000002</v>
      </c>
    </row>
    <row r="51" spans="1:7" ht="38.25" x14ac:dyDescent="0.2">
      <c r="A51" s="16">
        <f t="shared" si="0"/>
        <v>47</v>
      </c>
      <c r="B51" s="57" t="s">
        <v>89</v>
      </c>
      <c r="C51" s="13" t="s">
        <v>222</v>
      </c>
      <c r="D51" s="9" t="s">
        <v>111</v>
      </c>
      <c r="E51" s="10">
        <v>43160</v>
      </c>
      <c r="F51" s="14" t="s">
        <v>199</v>
      </c>
      <c r="G51" s="15">
        <v>64390.239999999998</v>
      </c>
    </row>
    <row r="52" spans="1:7" ht="38.25" x14ac:dyDescent="0.2">
      <c r="A52" s="16">
        <f t="shared" si="0"/>
        <v>48</v>
      </c>
      <c r="B52" s="57" t="s">
        <v>83</v>
      </c>
      <c r="C52" s="13" t="s">
        <v>222</v>
      </c>
      <c r="D52" s="11" t="s">
        <v>1</v>
      </c>
      <c r="E52" s="12">
        <v>42635</v>
      </c>
      <c r="F52" s="14" t="s">
        <v>199</v>
      </c>
      <c r="G52" s="15">
        <v>451042.8</v>
      </c>
    </row>
    <row r="53" spans="1:7" ht="38.25" x14ac:dyDescent="0.2">
      <c r="A53" s="16">
        <f t="shared" si="0"/>
        <v>49</v>
      </c>
      <c r="B53" s="57" t="s">
        <v>166</v>
      </c>
      <c r="C53" s="13" t="s">
        <v>222</v>
      </c>
      <c r="D53" s="11" t="s">
        <v>167</v>
      </c>
      <c r="E53" s="12">
        <v>43221</v>
      </c>
      <c r="F53" s="14" t="s">
        <v>199</v>
      </c>
      <c r="G53" s="15">
        <v>208754.86</v>
      </c>
    </row>
    <row r="54" spans="1:7" ht="38.25" x14ac:dyDescent="0.2">
      <c r="A54" s="16">
        <f t="shared" si="0"/>
        <v>50</v>
      </c>
      <c r="B54" s="58" t="s">
        <v>186</v>
      </c>
      <c r="C54" s="13" t="s">
        <v>222</v>
      </c>
      <c r="D54" s="11" t="s">
        <v>187</v>
      </c>
      <c r="E54" s="12">
        <v>43460</v>
      </c>
      <c r="F54" s="14" t="s">
        <v>199</v>
      </c>
      <c r="G54" s="15">
        <v>132812.37</v>
      </c>
    </row>
    <row r="55" spans="1:7" ht="38.25" x14ac:dyDescent="0.2">
      <c r="A55" s="16">
        <f t="shared" si="0"/>
        <v>51</v>
      </c>
      <c r="B55" s="57" t="s">
        <v>300</v>
      </c>
      <c r="C55" s="13" t="s">
        <v>222</v>
      </c>
      <c r="D55" s="11" t="s">
        <v>301</v>
      </c>
      <c r="E55" s="12">
        <v>43466</v>
      </c>
      <c r="F55" s="14" t="s">
        <v>207</v>
      </c>
      <c r="G55" s="15">
        <v>12163631.300000001</v>
      </c>
    </row>
    <row r="56" spans="1:7" ht="38.25" x14ac:dyDescent="0.2">
      <c r="A56" s="16">
        <f t="shared" si="0"/>
        <v>52</v>
      </c>
      <c r="B56" s="58" t="s">
        <v>84</v>
      </c>
      <c r="C56" s="13" t="s">
        <v>222</v>
      </c>
      <c r="D56" s="11" t="s">
        <v>4</v>
      </c>
      <c r="E56" s="12">
        <v>42621</v>
      </c>
      <c r="F56" s="14" t="s">
        <v>207</v>
      </c>
      <c r="G56" s="15">
        <v>129486.37</v>
      </c>
    </row>
    <row r="57" spans="1:7" ht="38.25" x14ac:dyDescent="0.2">
      <c r="A57" s="16">
        <f t="shared" si="0"/>
        <v>53</v>
      </c>
      <c r="B57" s="58" t="s">
        <v>121</v>
      </c>
      <c r="C57" s="13" t="s">
        <v>222</v>
      </c>
      <c r="D57" s="11" t="s">
        <v>122</v>
      </c>
      <c r="E57" s="12">
        <v>42948</v>
      </c>
      <c r="F57" s="14" t="s">
        <v>207</v>
      </c>
      <c r="G57" s="15">
        <v>727136.2</v>
      </c>
    </row>
    <row r="58" spans="1:7" ht="38.25" x14ac:dyDescent="0.2">
      <c r="A58" s="16">
        <f t="shared" si="0"/>
        <v>54</v>
      </c>
      <c r="B58" s="58" t="s">
        <v>316</v>
      </c>
      <c r="C58" s="13" t="s">
        <v>222</v>
      </c>
      <c r="D58" s="9" t="s">
        <v>317</v>
      </c>
      <c r="E58" s="10">
        <v>43770</v>
      </c>
      <c r="F58" s="14" t="s">
        <v>207</v>
      </c>
      <c r="G58" s="15">
        <v>71784</v>
      </c>
    </row>
    <row r="59" spans="1:7" ht="38.25" x14ac:dyDescent="0.2">
      <c r="A59" s="16">
        <f t="shared" si="0"/>
        <v>55</v>
      </c>
      <c r="B59" s="58" t="s">
        <v>504</v>
      </c>
      <c r="C59" s="13" t="s">
        <v>222</v>
      </c>
      <c r="D59" s="9" t="s">
        <v>384</v>
      </c>
      <c r="E59" s="12">
        <v>44287</v>
      </c>
      <c r="F59" s="14" t="s">
        <v>207</v>
      </c>
      <c r="G59" s="15">
        <v>6328.95</v>
      </c>
    </row>
    <row r="60" spans="1:7" ht="38.25" x14ac:dyDescent="0.2">
      <c r="A60" s="16">
        <f t="shared" si="0"/>
        <v>56</v>
      </c>
      <c r="B60" s="19" t="s">
        <v>197</v>
      </c>
      <c r="C60" s="13" t="s">
        <v>222</v>
      </c>
      <c r="D60" s="11" t="s">
        <v>198</v>
      </c>
      <c r="E60" s="12">
        <v>43497</v>
      </c>
      <c r="F60" s="14" t="s">
        <v>203</v>
      </c>
      <c r="G60" s="15">
        <v>1365726.49</v>
      </c>
    </row>
    <row r="61" spans="1:7" ht="38.25" x14ac:dyDescent="0.2">
      <c r="A61" s="16">
        <f t="shared" si="0"/>
        <v>57</v>
      </c>
      <c r="B61" s="58" t="s">
        <v>6</v>
      </c>
      <c r="C61" s="13" t="s">
        <v>222</v>
      </c>
      <c r="D61" s="11" t="s">
        <v>5</v>
      </c>
      <c r="E61" s="12">
        <v>41548</v>
      </c>
      <c r="F61" s="14" t="s">
        <v>199</v>
      </c>
      <c r="G61" s="15">
        <v>3329365.85</v>
      </c>
    </row>
    <row r="62" spans="1:7" ht="38.25" x14ac:dyDescent="0.2">
      <c r="A62" s="16">
        <f t="shared" si="0"/>
        <v>58</v>
      </c>
      <c r="B62" s="58" t="s">
        <v>114</v>
      </c>
      <c r="C62" s="13" t="s">
        <v>222</v>
      </c>
      <c r="D62" s="11" t="s">
        <v>115</v>
      </c>
      <c r="E62" s="12">
        <v>43191</v>
      </c>
      <c r="F62" s="14" t="s">
        <v>207</v>
      </c>
      <c r="G62" s="15">
        <v>29072</v>
      </c>
    </row>
    <row r="63" spans="1:7" ht="38.25" x14ac:dyDescent="0.2">
      <c r="A63" s="16">
        <f t="shared" si="0"/>
        <v>59</v>
      </c>
      <c r="B63" s="58" t="s">
        <v>79</v>
      </c>
      <c r="C63" s="13" t="s">
        <v>222</v>
      </c>
      <c r="D63" s="11" t="s">
        <v>7</v>
      </c>
      <c r="E63" s="12">
        <v>42856</v>
      </c>
      <c r="F63" s="14" t="s">
        <v>199</v>
      </c>
      <c r="G63" s="15">
        <v>976788.81</v>
      </c>
    </row>
    <row r="64" spans="1:7" ht="38.25" x14ac:dyDescent="0.2">
      <c r="A64" s="16">
        <f t="shared" si="0"/>
        <v>60</v>
      </c>
      <c r="B64" s="58" t="s">
        <v>385</v>
      </c>
      <c r="C64" s="13" t="s">
        <v>222</v>
      </c>
      <c r="D64" s="11" t="s">
        <v>386</v>
      </c>
      <c r="E64" s="12">
        <v>45049</v>
      </c>
      <c r="F64" s="14" t="s">
        <v>199</v>
      </c>
      <c r="G64" s="15">
        <v>1464297.89</v>
      </c>
    </row>
    <row r="65" spans="1:7" ht="38.25" x14ac:dyDescent="0.2">
      <c r="A65" s="16">
        <f t="shared" si="0"/>
        <v>61</v>
      </c>
      <c r="B65" s="58" t="s">
        <v>387</v>
      </c>
      <c r="C65" s="13" t="s">
        <v>222</v>
      </c>
      <c r="D65" s="11" t="s">
        <v>388</v>
      </c>
      <c r="E65" s="49" t="s">
        <v>389</v>
      </c>
      <c r="F65" s="14" t="s">
        <v>207</v>
      </c>
      <c r="G65" s="15">
        <v>1232.29</v>
      </c>
    </row>
    <row r="66" spans="1:7" ht="38.25" x14ac:dyDescent="0.2">
      <c r="A66" s="16">
        <f t="shared" si="0"/>
        <v>62</v>
      </c>
      <c r="B66" s="58" t="s">
        <v>80</v>
      </c>
      <c r="C66" s="13" t="s">
        <v>222</v>
      </c>
      <c r="D66" s="11" t="s">
        <v>116</v>
      </c>
      <c r="E66" s="12">
        <v>42217</v>
      </c>
      <c r="F66" s="14" t="s">
        <v>207</v>
      </c>
      <c r="G66" s="15">
        <v>305082.55</v>
      </c>
    </row>
    <row r="67" spans="1:7" ht="38.25" x14ac:dyDescent="0.2">
      <c r="A67" s="16">
        <f t="shared" si="0"/>
        <v>63</v>
      </c>
      <c r="B67" s="58" t="s">
        <v>9</v>
      </c>
      <c r="C67" s="13" t="s">
        <v>222</v>
      </c>
      <c r="D67" s="11" t="s">
        <v>10</v>
      </c>
      <c r="E67" s="12">
        <v>43132</v>
      </c>
      <c r="F67" s="14" t="s">
        <v>199</v>
      </c>
      <c r="G67" s="15">
        <v>691352.4</v>
      </c>
    </row>
    <row r="68" spans="1:7" ht="38.25" x14ac:dyDescent="0.2">
      <c r="A68" s="16">
        <f t="shared" si="0"/>
        <v>64</v>
      </c>
      <c r="B68" s="57" t="s">
        <v>81</v>
      </c>
      <c r="C68" s="13" t="s">
        <v>222</v>
      </c>
      <c r="D68" s="11" t="s">
        <v>8</v>
      </c>
      <c r="E68" s="12">
        <v>39814</v>
      </c>
      <c r="F68" s="14" t="s">
        <v>199</v>
      </c>
      <c r="G68" s="15">
        <v>50033.46</v>
      </c>
    </row>
    <row r="69" spans="1:7" ht="38.25" x14ac:dyDescent="0.2">
      <c r="A69" s="16">
        <f t="shared" si="0"/>
        <v>65</v>
      </c>
      <c r="B69" s="58" t="s">
        <v>101</v>
      </c>
      <c r="C69" s="13" t="s">
        <v>222</v>
      </c>
      <c r="D69" s="11" t="s">
        <v>102</v>
      </c>
      <c r="E69" s="12">
        <v>39814</v>
      </c>
      <c r="F69" s="14" t="s">
        <v>199</v>
      </c>
      <c r="G69" s="15">
        <v>482053.48</v>
      </c>
    </row>
    <row r="70" spans="1:7" ht="38.25" x14ac:dyDescent="0.2">
      <c r="A70" s="16">
        <f t="shared" ref="A70:A133" si="1">A69+1</f>
        <v>66</v>
      </c>
      <c r="B70" s="57" t="s">
        <v>132</v>
      </c>
      <c r="C70" s="13" t="s">
        <v>222</v>
      </c>
      <c r="D70" s="11" t="s">
        <v>133</v>
      </c>
      <c r="E70" s="12">
        <v>42767</v>
      </c>
      <c r="F70" s="14" t="s">
        <v>199</v>
      </c>
      <c r="G70" s="15">
        <v>84944.4</v>
      </c>
    </row>
    <row r="71" spans="1:7" ht="38.25" x14ac:dyDescent="0.2">
      <c r="A71" s="16">
        <f t="shared" si="1"/>
        <v>67</v>
      </c>
      <c r="B71" s="57" t="s">
        <v>188</v>
      </c>
      <c r="C71" s="13" t="s">
        <v>222</v>
      </c>
      <c r="D71" s="11" t="s">
        <v>189</v>
      </c>
      <c r="E71" s="12">
        <v>43383</v>
      </c>
      <c r="F71" s="14" t="s">
        <v>199</v>
      </c>
      <c r="G71" s="15">
        <v>675164.42</v>
      </c>
    </row>
    <row r="72" spans="1:7" ht="38.25" x14ac:dyDescent="0.2">
      <c r="A72" s="16">
        <f t="shared" si="1"/>
        <v>68</v>
      </c>
      <c r="B72" s="57" t="s">
        <v>184</v>
      </c>
      <c r="C72" s="13" t="s">
        <v>222</v>
      </c>
      <c r="D72" s="11" t="s">
        <v>185</v>
      </c>
      <c r="E72" s="12">
        <v>43160</v>
      </c>
      <c r="F72" s="14" t="s">
        <v>207</v>
      </c>
      <c r="G72" s="15">
        <v>1178035.26</v>
      </c>
    </row>
    <row r="73" spans="1:7" ht="38.25" x14ac:dyDescent="0.2">
      <c r="A73" s="16">
        <f t="shared" si="1"/>
        <v>69</v>
      </c>
      <c r="B73" s="58" t="s">
        <v>318</v>
      </c>
      <c r="C73" s="13" t="s">
        <v>222</v>
      </c>
      <c r="D73" s="9" t="s">
        <v>319</v>
      </c>
      <c r="E73" s="10">
        <v>43405</v>
      </c>
      <c r="F73" s="14" t="s">
        <v>207</v>
      </c>
      <c r="G73" s="15">
        <v>70743</v>
      </c>
    </row>
    <row r="74" spans="1:7" ht="38.25" x14ac:dyDescent="0.2">
      <c r="A74" s="16">
        <f t="shared" si="1"/>
        <v>70</v>
      </c>
      <c r="B74" s="58" t="s">
        <v>194</v>
      </c>
      <c r="C74" s="13" t="s">
        <v>222</v>
      </c>
      <c r="D74" s="9" t="s">
        <v>195</v>
      </c>
      <c r="E74" s="10">
        <v>43516</v>
      </c>
      <c r="F74" s="14" t="s">
        <v>207</v>
      </c>
      <c r="G74" s="15">
        <v>307079.99</v>
      </c>
    </row>
    <row r="75" spans="1:7" ht="38.25" x14ac:dyDescent="0.2">
      <c r="A75" s="16">
        <f t="shared" si="1"/>
        <v>71</v>
      </c>
      <c r="B75" s="58" t="s">
        <v>179</v>
      </c>
      <c r="C75" s="13" t="s">
        <v>222</v>
      </c>
      <c r="D75" s="9" t="s">
        <v>180</v>
      </c>
      <c r="E75" s="10">
        <v>43374</v>
      </c>
      <c r="F75" s="14" t="s">
        <v>207</v>
      </c>
      <c r="G75" s="15">
        <v>1555787</v>
      </c>
    </row>
    <row r="76" spans="1:7" ht="38.25" x14ac:dyDescent="0.2">
      <c r="A76" s="16">
        <f t="shared" si="1"/>
        <v>72</v>
      </c>
      <c r="B76" s="58" t="s">
        <v>82</v>
      </c>
      <c r="C76" s="13" t="s">
        <v>222</v>
      </c>
      <c r="D76" s="9" t="s">
        <v>117</v>
      </c>
      <c r="E76" s="10">
        <v>42433</v>
      </c>
      <c r="F76" s="14" t="s">
        <v>199</v>
      </c>
      <c r="G76" s="15">
        <v>100355</v>
      </c>
    </row>
    <row r="77" spans="1:7" ht="38.25" x14ac:dyDescent="0.2">
      <c r="A77" s="16">
        <f t="shared" si="1"/>
        <v>73</v>
      </c>
      <c r="B77" s="57" t="s">
        <v>42</v>
      </c>
      <c r="C77" s="13" t="s">
        <v>222</v>
      </c>
      <c r="D77" s="9" t="s">
        <v>43</v>
      </c>
      <c r="E77" s="10">
        <v>41730</v>
      </c>
      <c r="F77" s="14" t="s">
        <v>199</v>
      </c>
      <c r="G77" s="15">
        <v>1212635.1499999999</v>
      </c>
    </row>
    <row r="78" spans="1:7" ht="38.25" x14ac:dyDescent="0.2">
      <c r="A78" s="16">
        <f t="shared" si="1"/>
        <v>74</v>
      </c>
      <c r="B78" s="58" t="s">
        <v>212</v>
      </c>
      <c r="C78" s="13" t="s">
        <v>222</v>
      </c>
      <c r="D78" s="9" t="s">
        <v>213</v>
      </c>
      <c r="E78" s="10">
        <v>43668</v>
      </c>
      <c r="F78" s="14" t="s">
        <v>207</v>
      </c>
      <c r="G78" s="15">
        <v>34934.879999999997</v>
      </c>
    </row>
    <row r="79" spans="1:7" ht="38.25" x14ac:dyDescent="0.2">
      <c r="A79" s="16">
        <f t="shared" si="1"/>
        <v>75</v>
      </c>
      <c r="B79" s="58" t="s">
        <v>390</v>
      </c>
      <c r="C79" s="13" t="s">
        <v>222</v>
      </c>
      <c r="D79" s="9" t="s">
        <v>391</v>
      </c>
      <c r="E79" s="10">
        <v>45113</v>
      </c>
      <c r="F79" s="14" t="s">
        <v>207</v>
      </c>
      <c r="G79" s="15">
        <v>1161608.69</v>
      </c>
    </row>
    <row r="80" spans="1:7" ht="38.25" x14ac:dyDescent="0.2">
      <c r="A80" s="16">
        <f t="shared" si="1"/>
        <v>76</v>
      </c>
      <c r="B80" s="58" t="s">
        <v>320</v>
      </c>
      <c r="C80" s="13" t="s">
        <v>222</v>
      </c>
      <c r="D80" s="9" t="s">
        <v>321</v>
      </c>
      <c r="E80" s="10">
        <v>43983</v>
      </c>
      <c r="F80" s="14" t="s">
        <v>207</v>
      </c>
      <c r="G80" s="15">
        <v>28713</v>
      </c>
    </row>
    <row r="81" spans="1:7" ht="38.25" x14ac:dyDescent="0.2">
      <c r="A81" s="16">
        <f t="shared" si="1"/>
        <v>77</v>
      </c>
      <c r="B81" s="58" t="s">
        <v>143</v>
      </c>
      <c r="C81" s="13" t="s">
        <v>222</v>
      </c>
      <c r="D81" s="11" t="s">
        <v>144</v>
      </c>
      <c r="E81" s="12">
        <v>42826</v>
      </c>
      <c r="F81" s="14" t="s">
        <v>207</v>
      </c>
      <c r="G81" s="15">
        <v>9224</v>
      </c>
    </row>
    <row r="82" spans="1:7" ht="38.25" x14ac:dyDescent="0.2">
      <c r="A82" s="16">
        <f t="shared" si="1"/>
        <v>78</v>
      </c>
      <c r="B82" s="57" t="s">
        <v>172</v>
      </c>
      <c r="C82" s="13" t="s">
        <v>222</v>
      </c>
      <c r="D82" s="11" t="s">
        <v>173</v>
      </c>
      <c r="E82" s="12">
        <v>43344</v>
      </c>
      <c r="F82" s="14" t="s">
        <v>199</v>
      </c>
      <c r="G82" s="15">
        <v>6783.59</v>
      </c>
    </row>
    <row r="83" spans="1:7" ht="38.25" x14ac:dyDescent="0.2">
      <c r="A83" s="16">
        <f t="shared" si="1"/>
        <v>79</v>
      </c>
      <c r="B83" s="57" t="s">
        <v>208</v>
      </c>
      <c r="C83" s="13" t="s">
        <v>222</v>
      </c>
      <c r="D83" s="11" t="s">
        <v>209</v>
      </c>
      <c r="E83" s="12">
        <v>43536</v>
      </c>
      <c r="F83" s="14" t="s">
        <v>210</v>
      </c>
      <c r="G83" s="15">
        <v>150076.41</v>
      </c>
    </row>
    <row r="84" spans="1:7" ht="38.25" x14ac:dyDescent="0.2">
      <c r="A84" s="16">
        <f t="shared" si="1"/>
        <v>80</v>
      </c>
      <c r="B84" s="58" t="s">
        <v>322</v>
      </c>
      <c r="C84" s="13" t="s">
        <v>222</v>
      </c>
      <c r="D84" s="9" t="s">
        <v>323</v>
      </c>
      <c r="E84" s="10">
        <v>43983</v>
      </c>
      <c r="F84" s="14" t="s">
        <v>207</v>
      </c>
      <c r="G84" s="15">
        <v>30364.639999999999</v>
      </c>
    </row>
    <row r="85" spans="1:7" ht="38.25" x14ac:dyDescent="0.2">
      <c r="A85" s="16">
        <f t="shared" si="1"/>
        <v>81</v>
      </c>
      <c r="B85" s="58" t="s">
        <v>12</v>
      </c>
      <c r="C85" s="13" t="s">
        <v>222</v>
      </c>
      <c r="D85" s="11" t="s">
        <v>13</v>
      </c>
      <c r="E85" s="10">
        <v>39814</v>
      </c>
      <c r="F85" s="14" t="s">
        <v>207</v>
      </c>
      <c r="G85" s="15">
        <v>970127.88</v>
      </c>
    </row>
    <row r="86" spans="1:7" ht="38.25" x14ac:dyDescent="0.2">
      <c r="A86" s="16">
        <f t="shared" si="1"/>
        <v>82</v>
      </c>
      <c r="B86" s="57" t="s">
        <v>392</v>
      </c>
      <c r="C86" s="13" t="s">
        <v>222</v>
      </c>
      <c r="D86" s="11" t="s">
        <v>51</v>
      </c>
      <c r="E86" s="12">
        <v>42522</v>
      </c>
      <c r="F86" s="14" t="s">
        <v>199</v>
      </c>
      <c r="G86" s="15">
        <v>589526.1</v>
      </c>
    </row>
    <row r="87" spans="1:7" ht="38.25" x14ac:dyDescent="0.2">
      <c r="A87" s="16">
        <f t="shared" si="1"/>
        <v>83</v>
      </c>
      <c r="B87" s="58" t="s">
        <v>15</v>
      </c>
      <c r="C87" s="13" t="s">
        <v>222</v>
      </c>
      <c r="D87" s="9" t="s">
        <v>393</v>
      </c>
      <c r="E87" s="10">
        <v>45352</v>
      </c>
      <c r="F87" s="14" t="s">
        <v>199</v>
      </c>
      <c r="G87" s="15">
        <v>83520.679999999993</v>
      </c>
    </row>
    <row r="88" spans="1:7" ht="38.25" x14ac:dyDescent="0.2">
      <c r="A88" s="16">
        <f t="shared" si="1"/>
        <v>84</v>
      </c>
      <c r="B88" s="58" t="s">
        <v>170</v>
      </c>
      <c r="C88" s="13" t="s">
        <v>222</v>
      </c>
      <c r="D88" s="9" t="s">
        <v>171</v>
      </c>
      <c r="E88" s="10">
        <v>43313</v>
      </c>
      <c r="F88" s="14" t="s">
        <v>207</v>
      </c>
      <c r="G88" s="15">
        <v>1210290.18</v>
      </c>
    </row>
    <row r="89" spans="1:7" ht="38.25" x14ac:dyDescent="0.2">
      <c r="A89" s="16">
        <f t="shared" si="1"/>
        <v>85</v>
      </c>
      <c r="B89" s="58" t="s">
        <v>16</v>
      </c>
      <c r="C89" s="13" t="s">
        <v>222</v>
      </c>
      <c r="D89" s="9" t="s">
        <v>17</v>
      </c>
      <c r="E89" s="10">
        <v>42249</v>
      </c>
      <c r="F89" s="14" t="s">
        <v>199</v>
      </c>
      <c r="G89" s="15">
        <v>2565883.1800000002</v>
      </c>
    </row>
    <row r="90" spans="1:7" ht="38.25" x14ac:dyDescent="0.2">
      <c r="A90" s="16">
        <f t="shared" si="1"/>
        <v>86</v>
      </c>
      <c r="B90" s="58" t="s">
        <v>182</v>
      </c>
      <c r="C90" s="13" t="s">
        <v>222</v>
      </c>
      <c r="D90" s="9" t="s">
        <v>183</v>
      </c>
      <c r="E90" s="10">
        <v>43405</v>
      </c>
      <c r="F90" s="14" t="s">
        <v>207</v>
      </c>
      <c r="G90" s="15">
        <v>60131</v>
      </c>
    </row>
    <row r="91" spans="1:7" ht="31.5" x14ac:dyDescent="0.2">
      <c r="A91" s="16">
        <f t="shared" si="1"/>
        <v>87</v>
      </c>
      <c r="B91" s="68" t="s">
        <v>178</v>
      </c>
      <c r="C91" s="13" t="s">
        <v>222</v>
      </c>
      <c r="D91" s="11" t="s">
        <v>181</v>
      </c>
      <c r="E91" s="12">
        <v>43374</v>
      </c>
      <c r="F91" s="17" t="s">
        <v>414</v>
      </c>
      <c r="G91" s="15">
        <v>36500850.649999999</v>
      </c>
    </row>
    <row r="92" spans="1:7" ht="38.25" x14ac:dyDescent="0.2">
      <c r="A92" s="16">
        <f t="shared" si="1"/>
        <v>88</v>
      </c>
      <c r="B92" s="58" t="s">
        <v>20</v>
      </c>
      <c r="C92" s="13" t="s">
        <v>222</v>
      </c>
      <c r="D92" s="9" t="s">
        <v>21</v>
      </c>
      <c r="E92" s="10">
        <v>42825</v>
      </c>
      <c r="F92" s="14" t="s">
        <v>199</v>
      </c>
      <c r="G92" s="15">
        <v>3964247.35</v>
      </c>
    </row>
    <row r="93" spans="1:7" ht="38.25" x14ac:dyDescent="0.2">
      <c r="A93" s="16">
        <f t="shared" si="1"/>
        <v>89</v>
      </c>
      <c r="B93" s="58" t="s">
        <v>326</v>
      </c>
      <c r="C93" s="13" t="s">
        <v>222</v>
      </c>
      <c r="D93" s="9" t="s">
        <v>327</v>
      </c>
      <c r="E93" s="12">
        <v>44132</v>
      </c>
      <c r="F93" s="14" t="s">
        <v>207</v>
      </c>
      <c r="G93" s="15">
        <v>659216.4</v>
      </c>
    </row>
    <row r="94" spans="1:7" ht="38.25" x14ac:dyDescent="0.2">
      <c r="A94" s="16">
        <f t="shared" si="1"/>
        <v>90</v>
      </c>
      <c r="B94" s="58" t="s">
        <v>24</v>
      </c>
      <c r="C94" s="13" t="s">
        <v>222</v>
      </c>
      <c r="D94" s="9" t="s">
        <v>25</v>
      </c>
      <c r="E94" s="10">
        <v>43009</v>
      </c>
      <c r="F94" s="14" t="s">
        <v>199</v>
      </c>
      <c r="G94" s="15">
        <v>137143.32999999999</v>
      </c>
    </row>
    <row r="95" spans="1:7" ht="38.25" x14ac:dyDescent="0.2">
      <c r="A95" s="16">
        <f t="shared" si="1"/>
        <v>91</v>
      </c>
      <c r="B95" s="58" t="s">
        <v>174</v>
      </c>
      <c r="C95" s="13" t="s">
        <v>222</v>
      </c>
      <c r="D95" s="11" t="s">
        <v>175</v>
      </c>
      <c r="E95" s="12">
        <v>43374</v>
      </c>
      <c r="F95" s="14" t="s">
        <v>199</v>
      </c>
      <c r="G95" s="15">
        <v>104493.58</v>
      </c>
    </row>
    <row r="96" spans="1:7" ht="38.25" x14ac:dyDescent="0.2">
      <c r="A96" s="16">
        <f t="shared" si="1"/>
        <v>92</v>
      </c>
      <c r="B96" s="58" t="s">
        <v>328</v>
      </c>
      <c r="C96" s="13" t="s">
        <v>222</v>
      </c>
      <c r="D96" s="9" t="s">
        <v>329</v>
      </c>
      <c r="E96" s="10">
        <v>44046</v>
      </c>
      <c r="F96" s="14" t="s">
        <v>207</v>
      </c>
      <c r="G96" s="15">
        <v>261509.11</v>
      </c>
    </row>
    <row r="97" spans="1:7" ht="38.25" x14ac:dyDescent="0.2">
      <c r="A97" s="16">
        <f t="shared" si="1"/>
        <v>93</v>
      </c>
      <c r="B97" s="58" t="s">
        <v>26</v>
      </c>
      <c r="C97" s="13" t="s">
        <v>222</v>
      </c>
      <c r="D97" s="9" t="s">
        <v>27</v>
      </c>
      <c r="E97" s="10">
        <v>41435</v>
      </c>
      <c r="F97" s="14" t="s">
        <v>207</v>
      </c>
      <c r="G97" s="15">
        <v>1839130.01</v>
      </c>
    </row>
    <row r="98" spans="1:7" ht="38.25" x14ac:dyDescent="0.2">
      <c r="A98" s="16">
        <f t="shared" si="1"/>
        <v>94</v>
      </c>
      <c r="B98" s="58" t="s">
        <v>130</v>
      </c>
      <c r="C98" s="13" t="s">
        <v>222</v>
      </c>
      <c r="D98" s="9" t="s">
        <v>131</v>
      </c>
      <c r="E98" s="10">
        <v>42767</v>
      </c>
      <c r="F98" s="14" t="s">
        <v>207</v>
      </c>
      <c r="G98" s="15">
        <v>64485.96</v>
      </c>
    </row>
    <row r="99" spans="1:7" ht="38.25" x14ac:dyDescent="0.2">
      <c r="A99" s="16">
        <f t="shared" si="1"/>
        <v>95</v>
      </c>
      <c r="B99" s="58" t="s">
        <v>44</v>
      </c>
      <c r="C99" s="13" t="s">
        <v>222</v>
      </c>
      <c r="D99" s="9" t="s">
        <v>45</v>
      </c>
      <c r="E99" s="10">
        <v>41730</v>
      </c>
      <c r="F99" s="14" t="s">
        <v>199</v>
      </c>
      <c r="G99" s="15">
        <v>1714285.67</v>
      </c>
    </row>
    <row r="100" spans="1:7" ht="38.25" x14ac:dyDescent="0.2">
      <c r="A100" s="16">
        <f t="shared" si="1"/>
        <v>96</v>
      </c>
      <c r="B100" s="58" t="s">
        <v>29</v>
      </c>
      <c r="C100" s="13" t="s">
        <v>222</v>
      </c>
      <c r="D100" s="9" t="s">
        <v>30</v>
      </c>
      <c r="E100" s="10">
        <v>39814</v>
      </c>
      <c r="F100" s="14" t="s">
        <v>207</v>
      </c>
      <c r="G100" s="15">
        <v>467254.02</v>
      </c>
    </row>
    <row r="101" spans="1:7" ht="38.25" x14ac:dyDescent="0.2">
      <c r="A101" s="16">
        <f t="shared" si="1"/>
        <v>97</v>
      </c>
      <c r="B101" s="58" t="s">
        <v>34</v>
      </c>
      <c r="C101" s="13" t="s">
        <v>222</v>
      </c>
      <c r="D101" s="9" t="s">
        <v>35</v>
      </c>
      <c r="E101" s="10">
        <v>43221</v>
      </c>
      <c r="F101" s="14" t="s">
        <v>207</v>
      </c>
      <c r="G101" s="15">
        <v>51481.09</v>
      </c>
    </row>
    <row r="102" spans="1:7" ht="38.25" x14ac:dyDescent="0.2">
      <c r="A102" s="16">
        <f t="shared" si="1"/>
        <v>98</v>
      </c>
      <c r="B102" s="68" t="s">
        <v>112</v>
      </c>
      <c r="C102" s="13" t="s">
        <v>222</v>
      </c>
      <c r="D102" s="11" t="s">
        <v>2</v>
      </c>
      <c r="E102" s="12">
        <v>42438</v>
      </c>
      <c r="F102" s="14" t="s">
        <v>207</v>
      </c>
      <c r="G102" s="15">
        <v>56111.16</v>
      </c>
    </row>
    <row r="103" spans="1:7" ht="38.25" x14ac:dyDescent="0.2">
      <c r="A103" s="16">
        <f t="shared" si="1"/>
        <v>99</v>
      </c>
      <c r="B103" s="57" t="s">
        <v>48</v>
      </c>
      <c r="C103" s="13" t="s">
        <v>222</v>
      </c>
      <c r="D103" s="11" t="s">
        <v>49</v>
      </c>
      <c r="E103" s="12">
        <v>41774</v>
      </c>
      <c r="F103" s="14" t="s">
        <v>199</v>
      </c>
      <c r="G103" s="15">
        <v>2307963.2799999998</v>
      </c>
    </row>
    <row r="104" spans="1:7" ht="38.25" x14ac:dyDescent="0.2">
      <c r="A104" s="16">
        <f t="shared" si="1"/>
        <v>100</v>
      </c>
      <c r="B104" s="57" t="s">
        <v>330</v>
      </c>
      <c r="C104" s="13" t="s">
        <v>222</v>
      </c>
      <c r="D104" s="11" t="s">
        <v>50</v>
      </c>
      <c r="E104" s="12">
        <v>39814</v>
      </c>
      <c r="F104" s="14" t="s">
        <v>199</v>
      </c>
      <c r="G104" s="15">
        <v>986850.54</v>
      </c>
    </row>
    <row r="105" spans="1:7" ht="38.25" x14ac:dyDescent="0.2">
      <c r="A105" s="16">
        <f t="shared" si="1"/>
        <v>101</v>
      </c>
      <c r="B105" s="57" t="s">
        <v>46</v>
      </c>
      <c r="C105" s="13" t="s">
        <v>222</v>
      </c>
      <c r="D105" s="11" t="s">
        <v>47</v>
      </c>
      <c r="E105" s="12">
        <v>41913</v>
      </c>
      <c r="F105" s="14" t="s">
        <v>199</v>
      </c>
      <c r="G105" s="15">
        <v>3650539.42</v>
      </c>
    </row>
    <row r="106" spans="1:7" ht="38.25" x14ac:dyDescent="0.2">
      <c r="A106" s="16">
        <f t="shared" si="1"/>
        <v>102</v>
      </c>
      <c r="B106" s="57" t="s">
        <v>479</v>
      </c>
      <c r="C106" s="13" t="s">
        <v>222</v>
      </c>
      <c r="D106" s="11" t="s">
        <v>33</v>
      </c>
      <c r="E106" s="12">
        <v>42095</v>
      </c>
      <c r="F106" s="14" t="s">
        <v>199</v>
      </c>
      <c r="G106" s="15">
        <v>119269.12</v>
      </c>
    </row>
    <row r="107" spans="1:7" ht="38.25" x14ac:dyDescent="0.2">
      <c r="A107" s="16">
        <f t="shared" si="1"/>
        <v>103</v>
      </c>
      <c r="B107" s="57" t="s">
        <v>140</v>
      </c>
      <c r="C107" s="13" t="s">
        <v>222</v>
      </c>
      <c r="D107" s="11" t="s">
        <v>141</v>
      </c>
      <c r="E107" s="12">
        <v>42826</v>
      </c>
      <c r="F107" s="14" t="s">
        <v>199</v>
      </c>
      <c r="G107" s="15">
        <v>36932.870000000003</v>
      </c>
    </row>
    <row r="108" spans="1:7" ht="38.25" x14ac:dyDescent="0.2">
      <c r="A108" s="16">
        <f t="shared" si="1"/>
        <v>104</v>
      </c>
      <c r="B108" s="57" t="s">
        <v>126</v>
      </c>
      <c r="C108" s="13" t="s">
        <v>222</v>
      </c>
      <c r="D108" s="11" t="s">
        <v>127</v>
      </c>
      <c r="E108" s="12">
        <v>42767</v>
      </c>
      <c r="F108" s="14" t="s">
        <v>199</v>
      </c>
      <c r="G108" s="15">
        <v>173992.45</v>
      </c>
    </row>
    <row r="109" spans="1:7" ht="38.25" x14ac:dyDescent="0.2">
      <c r="A109" s="16">
        <f t="shared" si="1"/>
        <v>105</v>
      </c>
      <c r="B109" s="58" t="s">
        <v>54</v>
      </c>
      <c r="C109" s="13" t="s">
        <v>222</v>
      </c>
      <c r="D109" s="11" t="s">
        <v>56</v>
      </c>
      <c r="E109" s="12">
        <v>39904</v>
      </c>
      <c r="F109" s="14" t="s">
        <v>199</v>
      </c>
      <c r="G109" s="15">
        <v>3840575.6</v>
      </c>
    </row>
    <row r="110" spans="1:7" ht="38.25" x14ac:dyDescent="0.2">
      <c r="A110" s="16">
        <f t="shared" si="1"/>
        <v>106</v>
      </c>
      <c r="B110" s="58" t="s">
        <v>55</v>
      </c>
      <c r="C110" s="13" t="s">
        <v>222</v>
      </c>
      <c r="D110" s="11" t="s">
        <v>57</v>
      </c>
      <c r="E110" s="12">
        <v>42948</v>
      </c>
      <c r="F110" s="14" t="s">
        <v>199</v>
      </c>
      <c r="G110" s="15">
        <v>3623656.32</v>
      </c>
    </row>
    <row r="111" spans="1:7" ht="38.25" x14ac:dyDescent="0.2">
      <c r="A111" s="16">
        <f t="shared" si="1"/>
        <v>107</v>
      </c>
      <c r="B111" s="11" t="s">
        <v>136</v>
      </c>
      <c r="C111" s="13" t="s">
        <v>222</v>
      </c>
      <c r="D111" s="11" t="s">
        <v>137</v>
      </c>
      <c r="E111" s="12">
        <v>42767</v>
      </c>
      <c r="F111" s="14" t="s">
        <v>207</v>
      </c>
      <c r="G111" s="15">
        <v>9642</v>
      </c>
    </row>
    <row r="112" spans="1:7" ht="38.25" x14ac:dyDescent="0.2">
      <c r="A112" s="16">
        <f t="shared" si="1"/>
        <v>108</v>
      </c>
      <c r="B112" s="57" t="s">
        <v>331</v>
      </c>
      <c r="C112" s="13" t="s">
        <v>222</v>
      </c>
      <c r="D112" s="11" t="s">
        <v>332</v>
      </c>
      <c r="E112" s="12">
        <v>44013</v>
      </c>
      <c r="F112" s="14" t="s">
        <v>207</v>
      </c>
      <c r="G112" s="15">
        <v>95867.53</v>
      </c>
    </row>
    <row r="113" spans="1:7" ht="38.25" x14ac:dyDescent="0.2">
      <c r="A113" s="16">
        <f t="shared" si="1"/>
        <v>109</v>
      </c>
      <c r="B113" s="57" t="s">
        <v>148</v>
      </c>
      <c r="C113" s="13" t="s">
        <v>222</v>
      </c>
      <c r="D113" s="11" t="s">
        <v>149</v>
      </c>
      <c r="E113" s="12">
        <v>43009</v>
      </c>
      <c r="F113" s="14" t="s">
        <v>207</v>
      </c>
      <c r="G113" s="15">
        <v>15014</v>
      </c>
    </row>
    <row r="114" spans="1:7" ht="40.5" customHeight="1" x14ac:dyDescent="0.2">
      <c r="A114" s="16">
        <f t="shared" si="1"/>
        <v>110</v>
      </c>
      <c r="B114" s="57" t="s">
        <v>333</v>
      </c>
      <c r="C114" s="13" t="s">
        <v>222</v>
      </c>
      <c r="D114" s="11" t="s">
        <v>334</v>
      </c>
      <c r="E114" s="12">
        <v>43788</v>
      </c>
      <c r="F114" s="14" t="s">
        <v>207</v>
      </c>
      <c r="G114" s="15">
        <v>76677.279999999999</v>
      </c>
    </row>
    <row r="115" spans="1:7" ht="34.5" customHeight="1" x14ac:dyDescent="0.2">
      <c r="A115" s="16">
        <f t="shared" si="1"/>
        <v>111</v>
      </c>
      <c r="B115" s="69" t="s">
        <v>59</v>
      </c>
      <c r="C115" s="13" t="s">
        <v>222</v>
      </c>
      <c r="D115" s="11" t="s">
        <v>60</v>
      </c>
      <c r="E115" s="12">
        <v>43115</v>
      </c>
      <c r="F115" s="14" t="s">
        <v>207</v>
      </c>
      <c r="G115" s="15">
        <v>2739456.91</v>
      </c>
    </row>
    <row r="116" spans="1:7" ht="38.25" x14ac:dyDescent="0.2">
      <c r="A116" s="16">
        <f t="shared" si="1"/>
        <v>112</v>
      </c>
      <c r="B116" s="57" t="s">
        <v>162</v>
      </c>
      <c r="C116" s="13" t="s">
        <v>222</v>
      </c>
      <c r="D116" s="11" t="s">
        <v>163</v>
      </c>
      <c r="E116" s="12">
        <v>43191</v>
      </c>
      <c r="F116" s="14" t="s">
        <v>207</v>
      </c>
      <c r="G116" s="15">
        <v>77107.98</v>
      </c>
    </row>
    <row r="117" spans="1:7" ht="38.25" x14ac:dyDescent="0.2">
      <c r="A117" s="16">
        <f t="shared" si="1"/>
        <v>113</v>
      </c>
      <c r="B117" s="58" t="s">
        <v>123</v>
      </c>
      <c r="C117" s="13" t="s">
        <v>222</v>
      </c>
      <c r="D117" s="11" t="s">
        <v>142</v>
      </c>
      <c r="E117" s="12">
        <v>42826</v>
      </c>
      <c r="F117" s="14" t="s">
        <v>207</v>
      </c>
      <c r="G117" s="15">
        <v>135492.29999999999</v>
      </c>
    </row>
    <row r="118" spans="1:7" ht="38.25" x14ac:dyDescent="0.2">
      <c r="A118" s="16">
        <f t="shared" si="1"/>
        <v>114</v>
      </c>
      <c r="B118" s="57" t="s">
        <v>67</v>
      </c>
      <c r="C118" s="13" t="s">
        <v>222</v>
      </c>
      <c r="D118" s="11" t="s">
        <v>68</v>
      </c>
      <c r="E118" s="12">
        <v>40710</v>
      </c>
      <c r="F118" s="14" t="s">
        <v>199</v>
      </c>
      <c r="G118" s="15">
        <v>836163.96</v>
      </c>
    </row>
    <row r="119" spans="1:7" ht="38.25" x14ac:dyDescent="0.2">
      <c r="A119" s="16">
        <f t="shared" si="1"/>
        <v>115</v>
      </c>
      <c r="B119" s="58" t="s">
        <v>337</v>
      </c>
      <c r="C119" s="13" t="s">
        <v>222</v>
      </c>
      <c r="D119" s="11" t="s">
        <v>338</v>
      </c>
      <c r="E119" s="12">
        <v>43661</v>
      </c>
      <c r="F119" s="14" t="s">
        <v>207</v>
      </c>
      <c r="G119" s="15">
        <v>182307.44</v>
      </c>
    </row>
    <row r="120" spans="1:7" ht="38.25" x14ac:dyDescent="0.2">
      <c r="A120" s="16">
        <f t="shared" si="1"/>
        <v>116</v>
      </c>
      <c r="B120" s="11" t="s">
        <v>65</v>
      </c>
      <c r="C120" s="13" t="s">
        <v>222</v>
      </c>
      <c r="D120" s="11" t="s">
        <v>66</v>
      </c>
      <c r="E120" s="12">
        <v>43040</v>
      </c>
      <c r="F120" s="14" t="s">
        <v>199</v>
      </c>
      <c r="G120" s="15">
        <v>1321.1224999999999</v>
      </c>
    </row>
    <row r="121" spans="1:7" ht="38.25" x14ac:dyDescent="0.2">
      <c r="A121" s="16">
        <f t="shared" si="1"/>
        <v>117</v>
      </c>
      <c r="B121" s="57" t="s">
        <v>63</v>
      </c>
      <c r="C121" s="13" t="s">
        <v>222</v>
      </c>
      <c r="D121" s="11" t="s">
        <v>64</v>
      </c>
      <c r="E121" s="12">
        <v>42865</v>
      </c>
      <c r="F121" s="14" t="s">
        <v>199</v>
      </c>
      <c r="G121" s="15">
        <v>506196.84</v>
      </c>
    </row>
    <row r="122" spans="1:7" ht="38.25" x14ac:dyDescent="0.2">
      <c r="A122" s="16">
        <f t="shared" si="1"/>
        <v>118</v>
      </c>
      <c r="B122" s="58" t="s">
        <v>73</v>
      </c>
      <c r="C122" s="13" t="s">
        <v>222</v>
      </c>
      <c r="D122" s="11" t="s">
        <v>74</v>
      </c>
      <c r="E122" s="12">
        <v>39814</v>
      </c>
      <c r="F122" s="14" t="s">
        <v>199</v>
      </c>
      <c r="G122" s="15">
        <v>5982</v>
      </c>
    </row>
    <row r="123" spans="1:7" ht="38.25" x14ac:dyDescent="0.2">
      <c r="A123" s="16">
        <f t="shared" si="1"/>
        <v>119</v>
      </c>
      <c r="B123" s="57" t="s">
        <v>192</v>
      </c>
      <c r="C123" s="13" t="s">
        <v>222</v>
      </c>
      <c r="D123" s="11" t="s">
        <v>193</v>
      </c>
      <c r="E123" s="12">
        <v>43535</v>
      </c>
      <c r="F123" s="14" t="s">
        <v>207</v>
      </c>
      <c r="G123" s="15">
        <v>500334.48</v>
      </c>
    </row>
    <row r="124" spans="1:7" ht="38.25" x14ac:dyDescent="0.2">
      <c r="A124" s="16">
        <f t="shared" si="1"/>
        <v>120</v>
      </c>
      <c r="B124" s="11" t="s">
        <v>138</v>
      </c>
      <c r="C124" s="13" t="s">
        <v>222</v>
      </c>
      <c r="D124" s="11" t="s">
        <v>139</v>
      </c>
      <c r="E124" s="12">
        <v>42856</v>
      </c>
      <c r="F124" s="14" t="s">
        <v>199</v>
      </c>
      <c r="G124" s="15">
        <v>119879.28</v>
      </c>
    </row>
    <row r="125" spans="1:7" ht="38.25" x14ac:dyDescent="0.2">
      <c r="A125" s="16">
        <f t="shared" si="1"/>
        <v>121</v>
      </c>
      <c r="B125" s="57" t="s">
        <v>340</v>
      </c>
      <c r="C125" s="13" t="s">
        <v>222</v>
      </c>
      <c r="D125" s="11" t="s">
        <v>341</v>
      </c>
      <c r="E125" s="12">
        <v>43908</v>
      </c>
      <c r="F125" s="14" t="s">
        <v>207</v>
      </c>
      <c r="G125" s="15">
        <v>311.07</v>
      </c>
    </row>
    <row r="126" spans="1:7" ht="38.25" x14ac:dyDescent="0.2">
      <c r="A126" s="16">
        <f t="shared" si="1"/>
        <v>122</v>
      </c>
      <c r="B126" s="58" t="s">
        <v>480</v>
      </c>
      <c r="C126" s="13" t="s">
        <v>222</v>
      </c>
      <c r="D126" s="11" t="s">
        <v>71</v>
      </c>
      <c r="E126" s="12">
        <v>42429</v>
      </c>
      <c r="F126" s="14" t="s">
        <v>199</v>
      </c>
      <c r="G126" s="15">
        <v>2879375.53</v>
      </c>
    </row>
    <row r="127" spans="1:7" ht="38.25" x14ac:dyDescent="0.2">
      <c r="A127" s="16">
        <f t="shared" si="1"/>
        <v>123</v>
      </c>
      <c r="B127" s="58" t="s">
        <v>75</v>
      </c>
      <c r="C127" s="13" t="s">
        <v>222</v>
      </c>
      <c r="D127" s="11" t="s">
        <v>76</v>
      </c>
      <c r="E127" s="12">
        <v>42736</v>
      </c>
      <c r="F127" s="14" t="s">
        <v>207</v>
      </c>
      <c r="G127" s="15">
        <v>8745.69</v>
      </c>
    </row>
    <row r="128" spans="1:7" ht="38.25" x14ac:dyDescent="0.2">
      <c r="A128" s="16">
        <f t="shared" si="1"/>
        <v>124</v>
      </c>
      <c r="B128" s="57" t="s">
        <v>313</v>
      </c>
      <c r="C128" s="13" t="s">
        <v>222</v>
      </c>
      <c r="D128" s="11" t="s">
        <v>314</v>
      </c>
      <c r="E128" s="12">
        <v>44046</v>
      </c>
      <c r="F128" s="14" t="s">
        <v>207</v>
      </c>
      <c r="G128" s="15">
        <v>49291.68</v>
      </c>
    </row>
    <row r="129" spans="1:7" ht="38.25" x14ac:dyDescent="0.2">
      <c r="A129" s="16">
        <f t="shared" si="1"/>
        <v>125</v>
      </c>
      <c r="B129" s="58" t="s">
        <v>118</v>
      </c>
      <c r="C129" s="13" t="s">
        <v>222</v>
      </c>
      <c r="D129" s="11" t="s">
        <v>119</v>
      </c>
      <c r="E129" s="12">
        <v>43221</v>
      </c>
      <c r="F129" s="14" t="s">
        <v>207</v>
      </c>
      <c r="G129" s="15">
        <v>374425.34</v>
      </c>
    </row>
    <row r="130" spans="1:7" ht="38.25" x14ac:dyDescent="0.2">
      <c r="A130" s="16">
        <f t="shared" si="1"/>
        <v>126</v>
      </c>
      <c r="B130" s="57" t="s">
        <v>36</v>
      </c>
      <c r="C130" s="13" t="s">
        <v>222</v>
      </c>
      <c r="D130" s="11" t="s">
        <v>37</v>
      </c>
      <c r="E130" s="12">
        <v>39814</v>
      </c>
      <c r="F130" s="14" t="s">
        <v>199</v>
      </c>
      <c r="G130" s="15">
        <v>13292938.15</v>
      </c>
    </row>
    <row r="131" spans="1:7" ht="38.25" x14ac:dyDescent="0.2">
      <c r="A131" s="16">
        <f t="shared" si="1"/>
        <v>127</v>
      </c>
      <c r="B131" s="57" t="s">
        <v>324</v>
      </c>
      <c r="C131" s="13" t="s">
        <v>222</v>
      </c>
      <c r="D131" s="11" t="s">
        <v>325</v>
      </c>
      <c r="E131" s="12">
        <v>44105</v>
      </c>
      <c r="F131" s="14" t="s">
        <v>203</v>
      </c>
      <c r="G131" s="15">
        <v>167639.57</v>
      </c>
    </row>
    <row r="132" spans="1:7" ht="38.25" x14ac:dyDescent="0.2">
      <c r="A132" s="16">
        <f t="shared" si="1"/>
        <v>128</v>
      </c>
      <c r="B132" s="57" t="s">
        <v>107</v>
      </c>
      <c r="C132" s="13" t="s">
        <v>222</v>
      </c>
      <c r="D132" s="11" t="s">
        <v>108</v>
      </c>
      <c r="E132" s="12">
        <v>41609</v>
      </c>
      <c r="F132" s="14" t="s">
        <v>207</v>
      </c>
      <c r="G132" s="15">
        <v>921096.39</v>
      </c>
    </row>
    <row r="133" spans="1:7" ht="38.25" x14ac:dyDescent="0.2">
      <c r="A133" s="16">
        <f t="shared" si="1"/>
        <v>129</v>
      </c>
      <c r="B133" s="58" t="s">
        <v>109</v>
      </c>
      <c r="C133" s="13" t="s">
        <v>222</v>
      </c>
      <c r="D133" s="11" t="s">
        <v>110</v>
      </c>
      <c r="E133" s="12">
        <v>39904</v>
      </c>
      <c r="F133" s="14" t="s">
        <v>207</v>
      </c>
      <c r="G133" s="15">
        <v>164708.39000000001</v>
      </c>
    </row>
    <row r="134" spans="1:7" ht="31.5" x14ac:dyDescent="0.2">
      <c r="A134" s="16">
        <f t="shared" ref="A134:A181" si="2">A133+1</f>
        <v>130</v>
      </c>
      <c r="B134" s="57" t="s">
        <v>298</v>
      </c>
      <c r="C134" s="13" t="s">
        <v>222</v>
      </c>
      <c r="D134" s="11" t="s">
        <v>40</v>
      </c>
      <c r="E134" s="12">
        <v>39814</v>
      </c>
      <c r="F134" s="17" t="s">
        <v>218</v>
      </c>
      <c r="G134" s="15">
        <v>6439288.9000000004</v>
      </c>
    </row>
    <row r="135" spans="1:7" ht="38.25" x14ac:dyDescent="0.2">
      <c r="A135" s="16">
        <f t="shared" si="2"/>
        <v>131</v>
      </c>
      <c r="B135" s="57" t="s">
        <v>298</v>
      </c>
      <c r="C135" s="13" t="s">
        <v>222</v>
      </c>
      <c r="D135" s="11" t="s">
        <v>41</v>
      </c>
      <c r="E135" s="12">
        <v>42125</v>
      </c>
      <c r="F135" s="14" t="s">
        <v>204</v>
      </c>
      <c r="G135" s="15">
        <v>4837152.5599999996</v>
      </c>
    </row>
    <row r="136" spans="1:7" ht="38.25" x14ac:dyDescent="0.2">
      <c r="A136" s="16">
        <f t="shared" si="2"/>
        <v>132</v>
      </c>
      <c r="B136" s="58" t="s">
        <v>394</v>
      </c>
      <c r="C136" s="13" t="s">
        <v>222</v>
      </c>
      <c r="D136" s="11" t="s">
        <v>11</v>
      </c>
      <c r="E136" s="12">
        <v>41699</v>
      </c>
      <c r="F136" s="14" t="s">
        <v>199</v>
      </c>
      <c r="G136" s="15">
        <v>79177.75</v>
      </c>
    </row>
    <row r="137" spans="1:7" ht="38.25" x14ac:dyDescent="0.2">
      <c r="A137" s="16">
        <f t="shared" si="2"/>
        <v>133</v>
      </c>
      <c r="B137" s="68" t="s">
        <v>305</v>
      </c>
      <c r="C137" s="13" t="s">
        <v>222</v>
      </c>
      <c r="D137" s="52" t="s">
        <v>465</v>
      </c>
      <c r="E137" s="53">
        <v>46023</v>
      </c>
      <c r="F137" s="14" t="s">
        <v>201</v>
      </c>
      <c r="G137" s="15">
        <v>447473.23</v>
      </c>
    </row>
    <row r="138" spans="1:7" ht="38.25" x14ac:dyDescent="0.2">
      <c r="A138" s="16">
        <f t="shared" si="2"/>
        <v>134</v>
      </c>
      <c r="B138" s="68" t="s">
        <v>28</v>
      </c>
      <c r="C138" s="13" t="s">
        <v>222</v>
      </c>
      <c r="D138" s="11" t="s">
        <v>342</v>
      </c>
      <c r="E138" s="12">
        <v>43830</v>
      </c>
      <c r="F138" s="14" t="s">
        <v>199</v>
      </c>
      <c r="G138" s="15">
        <v>418008.44</v>
      </c>
    </row>
    <row r="139" spans="1:7" ht="38.25" x14ac:dyDescent="0.2">
      <c r="A139" s="16">
        <f t="shared" si="2"/>
        <v>135</v>
      </c>
      <c r="B139" s="69" t="s">
        <v>369</v>
      </c>
      <c r="C139" s="13" t="s">
        <v>222</v>
      </c>
      <c r="D139" s="11" t="s">
        <v>370</v>
      </c>
      <c r="E139" s="12">
        <v>45470</v>
      </c>
      <c r="F139" s="14" t="s">
        <v>371</v>
      </c>
      <c r="G139" s="15">
        <v>58037.4</v>
      </c>
    </row>
    <row r="140" spans="1:7" ht="38.25" x14ac:dyDescent="0.2">
      <c r="A140" s="16">
        <f t="shared" si="2"/>
        <v>136</v>
      </c>
      <c r="B140" s="58" t="s">
        <v>22</v>
      </c>
      <c r="C140" s="13" t="s">
        <v>222</v>
      </c>
      <c r="D140" s="52" t="s">
        <v>462</v>
      </c>
      <c r="E140" s="54">
        <v>45930</v>
      </c>
      <c r="F140" s="14" t="s">
        <v>205</v>
      </c>
      <c r="G140" s="15">
        <v>282834.83</v>
      </c>
    </row>
    <row r="141" spans="1:7" ht="38.25" x14ac:dyDescent="0.2">
      <c r="A141" s="16">
        <f t="shared" si="2"/>
        <v>137</v>
      </c>
      <c r="B141" s="58" t="s">
        <v>31</v>
      </c>
      <c r="C141" s="13" t="s">
        <v>222</v>
      </c>
      <c r="D141" s="11" t="s">
        <v>32</v>
      </c>
      <c r="E141" s="12">
        <v>42348</v>
      </c>
      <c r="F141" s="14" t="s">
        <v>199</v>
      </c>
      <c r="G141" s="15">
        <v>9343.8799999999992</v>
      </c>
    </row>
    <row r="142" spans="1:7" ht="38.25" x14ac:dyDescent="0.2">
      <c r="A142" s="16">
        <f t="shared" si="2"/>
        <v>138</v>
      </c>
      <c r="B142" s="58" t="s">
        <v>77</v>
      </c>
      <c r="C142" s="13" t="s">
        <v>222</v>
      </c>
      <c r="D142" s="11" t="s">
        <v>78</v>
      </c>
      <c r="E142" s="12">
        <v>42339</v>
      </c>
      <c r="F142" s="14" t="s">
        <v>199</v>
      </c>
      <c r="G142" s="15">
        <v>3887342.88</v>
      </c>
    </row>
    <row r="143" spans="1:7" ht="38.25" x14ac:dyDescent="0.2">
      <c r="A143" s="16">
        <f t="shared" si="2"/>
        <v>139</v>
      </c>
      <c r="B143" s="58" t="s">
        <v>395</v>
      </c>
      <c r="C143" s="13" t="s">
        <v>222</v>
      </c>
      <c r="D143" s="11" t="s">
        <v>396</v>
      </c>
      <c r="E143" s="12">
        <v>44621</v>
      </c>
      <c r="F143" s="14" t="s">
        <v>207</v>
      </c>
      <c r="G143" s="15">
        <v>1350161.33</v>
      </c>
    </row>
    <row r="144" spans="1:7" ht="38.25" x14ac:dyDescent="0.2">
      <c r="A144" s="16">
        <f t="shared" si="2"/>
        <v>140</v>
      </c>
      <c r="B144" s="58" t="s">
        <v>397</v>
      </c>
      <c r="C144" s="13" t="s">
        <v>222</v>
      </c>
      <c r="D144" s="11" t="s">
        <v>398</v>
      </c>
      <c r="E144" s="12">
        <v>45348</v>
      </c>
      <c r="F144" s="14" t="s">
        <v>207</v>
      </c>
      <c r="G144" s="15">
        <v>723271.65</v>
      </c>
    </row>
    <row r="145" spans="1:7" ht="38.25" x14ac:dyDescent="0.2">
      <c r="A145" s="16">
        <f t="shared" si="2"/>
        <v>141</v>
      </c>
      <c r="B145" s="58" t="s">
        <v>399</v>
      </c>
      <c r="C145" s="13" t="s">
        <v>222</v>
      </c>
      <c r="D145" s="11" t="s">
        <v>400</v>
      </c>
      <c r="E145" s="12">
        <v>44958</v>
      </c>
      <c r="F145" s="14" t="s">
        <v>207</v>
      </c>
      <c r="G145" s="15">
        <v>215603.24</v>
      </c>
    </row>
    <row r="146" spans="1:7" ht="38.25" x14ac:dyDescent="0.2">
      <c r="A146" s="16">
        <f t="shared" si="2"/>
        <v>142</v>
      </c>
      <c r="B146" s="58" t="s">
        <v>401</v>
      </c>
      <c r="C146" s="13" t="s">
        <v>222</v>
      </c>
      <c r="D146" s="11" t="s">
        <v>402</v>
      </c>
      <c r="E146" s="12">
        <v>45536</v>
      </c>
      <c r="F146" s="14" t="s">
        <v>207</v>
      </c>
      <c r="G146" s="15">
        <v>172891.76</v>
      </c>
    </row>
    <row r="147" spans="1:7" ht="38.25" x14ac:dyDescent="0.2">
      <c r="A147" s="16">
        <f t="shared" si="2"/>
        <v>143</v>
      </c>
      <c r="B147" s="58" t="s">
        <v>403</v>
      </c>
      <c r="C147" s="13" t="s">
        <v>222</v>
      </c>
      <c r="D147" s="11" t="s">
        <v>303</v>
      </c>
      <c r="E147" s="12">
        <v>43770</v>
      </c>
      <c r="F147" s="14" t="s">
        <v>199</v>
      </c>
      <c r="G147" s="15">
        <v>116852.38</v>
      </c>
    </row>
    <row r="148" spans="1:7" ht="38.25" x14ac:dyDescent="0.2">
      <c r="A148" s="16">
        <f t="shared" si="2"/>
        <v>144</v>
      </c>
      <c r="B148" s="58" t="s">
        <v>404</v>
      </c>
      <c r="C148" s="13" t="s">
        <v>222</v>
      </c>
      <c r="D148" s="11" t="s">
        <v>405</v>
      </c>
      <c r="E148" s="12">
        <v>45047</v>
      </c>
      <c r="F148" s="14" t="s">
        <v>199</v>
      </c>
      <c r="G148" s="15">
        <v>658797.66</v>
      </c>
    </row>
    <row r="149" spans="1:7" ht="38.25" x14ac:dyDescent="0.2">
      <c r="A149" s="16">
        <f t="shared" si="2"/>
        <v>145</v>
      </c>
      <c r="B149" s="58" t="s">
        <v>481</v>
      </c>
      <c r="C149" s="13" t="s">
        <v>222</v>
      </c>
      <c r="D149" s="11" t="s">
        <v>406</v>
      </c>
      <c r="E149" s="12">
        <v>44927</v>
      </c>
      <c r="F149" s="14" t="s">
        <v>207</v>
      </c>
      <c r="G149" s="15">
        <v>554866.39</v>
      </c>
    </row>
    <row r="150" spans="1:7" ht="38.25" x14ac:dyDescent="0.2">
      <c r="A150" s="16">
        <f t="shared" si="2"/>
        <v>146</v>
      </c>
      <c r="B150" s="58" t="s">
        <v>407</v>
      </c>
      <c r="C150" s="13" t="s">
        <v>222</v>
      </c>
      <c r="D150" s="11" t="s">
        <v>408</v>
      </c>
      <c r="E150" s="12">
        <v>44348</v>
      </c>
      <c r="F150" s="14" t="s">
        <v>207</v>
      </c>
      <c r="G150" s="15">
        <v>212241.36</v>
      </c>
    </row>
    <row r="151" spans="1:7" ht="38.25" x14ac:dyDescent="0.2">
      <c r="A151" s="16">
        <f t="shared" si="2"/>
        <v>147</v>
      </c>
      <c r="B151" s="58" t="s">
        <v>409</v>
      </c>
      <c r="C151" s="13" t="s">
        <v>222</v>
      </c>
      <c r="D151" s="11" t="s">
        <v>410</v>
      </c>
      <c r="E151" s="12">
        <v>44743</v>
      </c>
      <c r="F151" s="14" t="s">
        <v>207</v>
      </c>
      <c r="G151" s="15">
        <v>733967.47</v>
      </c>
    </row>
    <row r="152" spans="1:7" ht="38.25" x14ac:dyDescent="0.2">
      <c r="A152" s="16">
        <f t="shared" si="2"/>
        <v>148</v>
      </c>
      <c r="B152" s="58" t="s">
        <v>411</v>
      </c>
      <c r="C152" s="13" t="s">
        <v>222</v>
      </c>
      <c r="D152" s="11" t="s">
        <v>412</v>
      </c>
      <c r="E152" s="12">
        <v>44853</v>
      </c>
      <c r="F152" s="14" t="s">
        <v>207</v>
      </c>
      <c r="G152" s="15">
        <v>46133.18</v>
      </c>
    </row>
    <row r="153" spans="1:7" ht="38.25" x14ac:dyDescent="0.2">
      <c r="A153" s="16">
        <f t="shared" si="2"/>
        <v>149</v>
      </c>
      <c r="B153" s="58" t="s">
        <v>413</v>
      </c>
      <c r="C153" s="13" t="s">
        <v>222</v>
      </c>
      <c r="D153" s="11" t="s">
        <v>482</v>
      </c>
      <c r="E153" s="12">
        <v>44927</v>
      </c>
      <c r="F153" s="14" t="s">
        <v>207</v>
      </c>
      <c r="G153" s="15">
        <v>135540.15</v>
      </c>
    </row>
    <row r="154" spans="1:7" ht="38.25" x14ac:dyDescent="0.2">
      <c r="A154" s="16">
        <f t="shared" si="2"/>
        <v>150</v>
      </c>
      <c r="B154" s="58" t="s">
        <v>421</v>
      </c>
      <c r="C154" s="13" t="s">
        <v>222</v>
      </c>
      <c r="D154" s="9" t="s">
        <v>419</v>
      </c>
      <c r="E154" s="10">
        <v>46062</v>
      </c>
      <c r="F154" s="14" t="s">
        <v>207</v>
      </c>
      <c r="G154" s="15">
        <v>350000</v>
      </c>
    </row>
    <row r="155" spans="1:7" ht="38.25" x14ac:dyDescent="0.2">
      <c r="A155" s="16">
        <f t="shared" si="2"/>
        <v>151</v>
      </c>
      <c r="B155" s="58" t="s">
        <v>422</v>
      </c>
      <c r="C155" s="13" t="s">
        <v>222</v>
      </c>
      <c r="D155" s="9" t="s">
        <v>420</v>
      </c>
      <c r="E155" s="10">
        <v>46093</v>
      </c>
      <c r="F155" s="14" t="s">
        <v>207</v>
      </c>
      <c r="G155" s="15">
        <v>589635.25</v>
      </c>
    </row>
    <row r="156" spans="1:7" ht="38.25" x14ac:dyDescent="0.2">
      <c r="A156" s="16">
        <f t="shared" si="2"/>
        <v>152</v>
      </c>
      <c r="B156" s="58" t="s">
        <v>423</v>
      </c>
      <c r="C156" s="13" t="s">
        <v>222</v>
      </c>
      <c r="D156" s="9" t="s">
        <v>391</v>
      </c>
      <c r="E156" s="10">
        <v>45839</v>
      </c>
      <c r="F156" s="14" t="s">
        <v>207</v>
      </c>
      <c r="G156" s="15">
        <v>859563.58</v>
      </c>
    </row>
    <row r="157" spans="1:7" ht="38.25" x14ac:dyDescent="0.2">
      <c r="A157" s="16">
        <f t="shared" si="2"/>
        <v>153</v>
      </c>
      <c r="B157" s="56" t="s">
        <v>435</v>
      </c>
      <c r="C157" s="51" t="s">
        <v>222</v>
      </c>
      <c r="D157" s="52" t="s">
        <v>436</v>
      </c>
      <c r="E157" s="10">
        <v>45383</v>
      </c>
      <c r="F157" s="14" t="s">
        <v>207</v>
      </c>
      <c r="G157" s="50"/>
    </row>
    <row r="158" spans="1:7" ht="38.25" x14ac:dyDescent="0.2">
      <c r="A158" s="16">
        <f t="shared" si="2"/>
        <v>154</v>
      </c>
      <c r="B158" s="56" t="s">
        <v>438</v>
      </c>
      <c r="C158" s="51" t="s">
        <v>222</v>
      </c>
      <c r="D158" s="52" t="s">
        <v>439</v>
      </c>
      <c r="E158" s="10">
        <v>45635</v>
      </c>
      <c r="F158" s="14" t="s">
        <v>207</v>
      </c>
      <c r="G158" s="50"/>
    </row>
    <row r="159" spans="1:7" ht="38.25" x14ac:dyDescent="0.2">
      <c r="A159" s="16">
        <f t="shared" si="2"/>
        <v>155</v>
      </c>
      <c r="B159" s="56" t="s">
        <v>440</v>
      </c>
      <c r="C159" s="51" t="s">
        <v>222</v>
      </c>
      <c r="D159" s="52" t="s">
        <v>441</v>
      </c>
      <c r="E159" s="10">
        <v>45658</v>
      </c>
      <c r="F159" s="14" t="s">
        <v>207</v>
      </c>
      <c r="G159" s="50"/>
    </row>
    <row r="160" spans="1:7" ht="38.25" x14ac:dyDescent="0.2">
      <c r="A160" s="16">
        <f t="shared" si="2"/>
        <v>156</v>
      </c>
      <c r="B160" s="56" t="s">
        <v>442</v>
      </c>
      <c r="C160" s="51" t="s">
        <v>222</v>
      </c>
      <c r="D160" s="52" t="s">
        <v>443</v>
      </c>
      <c r="E160" s="10">
        <v>45689</v>
      </c>
      <c r="F160" s="14" t="s">
        <v>207</v>
      </c>
      <c r="G160" s="50"/>
    </row>
    <row r="161" spans="1:7" ht="38.25" x14ac:dyDescent="0.2">
      <c r="A161" s="16">
        <f t="shared" si="2"/>
        <v>157</v>
      </c>
      <c r="B161" s="56" t="s">
        <v>444</v>
      </c>
      <c r="C161" s="51" t="s">
        <v>222</v>
      </c>
      <c r="D161" s="52" t="s">
        <v>445</v>
      </c>
      <c r="E161" s="10">
        <v>45748</v>
      </c>
      <c r="F161" s="14" t="s">
        <v>207</v>
      </c>
      <c r="G161" s="50"/>
    </row>
    <row r="162" spans="1:7" ht="38.25" x14ac:dyDescent="0.25">
      <c r="A162" s="16">
        <f t="shared" si="2"/>
        <v>158</v>
      </c>
      <c r="B162" s="73" t="s">
        <v>446</v>
      </c>
      <c r="C162" s="51" t="s">
        <v>222</v>
      </c>
      <c r="D162" s="52" t="s">
        <v>447</v>
      </c>
      <c r="E162" s="10">
        <v>45748</v>
      </c>
      <c r="F162" s="14" t="s">
        <v>207</v>
      </c>
      <c r="G162" s="50"/>
    </row>
    <row r="163" spans="1:7" ht="38.25" x14ac:dyDescent="0.25">
      <c r="A163" s="16">
        <f t="shared" si="2"/>
        <v>159</v>
      </c>
      <c r="B163" s="73" t="s">
        <v>448</v>
      </c>
      <c r="C163" s="51" t="s">
        <v>222</v>
      </c>
      <c r="D163" s="52" t="s">
        <v>449</v>
      </c>
      <c r="E163" s="10">
        <v>45778</v>
      </c>
      <c r="F163" s="14" t="s">
        <v>207</v>
      </c>
      <c r="G163" s="50"/>
    </row>
    <row r="164" spans="1:7" ht="38.25" x14ac:dyDescent="0.25">
      <c r="A164" s="16">
        <f t="shared" si="2"/>
        <v>160</v>
      </c>
      <c r="B164" s="73" t="s">
        <v>450</v>
      </c>
      <c r="C164" s="51" t="s">
        <v>222</v>
      </c>
      <c r="D164" s="52" t="s">
        <v>451</v>
      </c>
      <c r="E164" s="10">
        <v>45778</v>
      </c>
      <c r="F164" s="14" t="s">
        <v>207</v>
      </c>
      <c r="G164" s="50"/>
    </row>
    <row r="165" spans="1:7" ht="38.25" x14ac:dyDescent="0.2">
      <c r="A165" s="16">
        <f t="shared" si="2"/>
        <v>161</v>
      </c>
      <c r="B165" s="75" t="s">
        <v>452</v>
      </c>
      <c r="C165" s="51" t="s">
        <v>222</v>
      </c>
      <c r="D165" s="52" t="s">
        <v>453</v>
      </c>
      <c r="E165" s="10">
        <v>45798</v>
      </c>
      <c r="F165" s="14" t="s">
        <v>207</v>
      </c>
      <c r="G165" s="50"/>
    </row>
    <row r="166" spans="1:7" ht="38.25" x14ac:dyDescent="0.2">
      <c r="A166" s="16">
        <f t="shared" si="2"/>
        <v>162</v>
      </c>
      <c r="B166" s="56" t="s">
        <v>454</v>
      </c>
      <c r="C166" s="51" t="s">
        <v>222</v>
      </c>
      <c r="D166" s="52" t="s">
        <v>455</v>
      </c>
      <c r="E166" s="10">
        <v>45825</v>
      </c>
      <c r="F166" s="14" t="s">
        <v>207</v>
      </c>
      <c r="G166" s="50"/>
    </row>
    <row r="167" spans="1:7" ht="38.25" x14ac:dyDescent="0.2">
      <c r="A167" s="16">
        <f t="shared" si="2"/>
        <v>163</v>
      </c>
      <c r="B167" s="56" t="s">
        <v>456</v>
      </c>
      <c r="C167" s="51" t="s">
        <v>222</v>
      </c>
      <c r="D167" s="52" t="s">
        <v>457</v>
      </c>
      <c r="E167" s="10">
        <v>45842</v>
      </c>
      <c r="F167" s="14" t="s">
        <v>207</v>
      </c>
      <c r="G167" s="50"/>
    </row>
    <row r="168" spans="1:7" ht="38.25" x14ac:dyDescent="0.2">
      <c r="A168" s="16">
        <f t="shared" si="2"/>
        <v>164</v>
      </c>
      <c r="B168" s="56" t="s">
        <v>458</v>
      </c>
      <c r="C168" s="51" t="s">
        <v>222</v>
      </c>
      <c r="D168" s="52" t="s">
        <v>459</v>
      </c>
      <c r="E168" s="10">
        <v>45847</v>
      </c>
      <c r="F168" s="14" t="s">
        <v>207</v>
      </c>
      <c r="G168" s="50"/>
    </row>
    <row r="169" spans="1:7" ht="38.25" x14ac:dyDescent="0.2">
      <c r="A169" s="16">
        <f t="shared" si="2"/>
        <v>165</v>
      </c>
      <c r="B169" s="56" t="s">
        <v>460</v>
      </c>
      <c r="C169" s="51" t="s">
        <v>222</v>
      </c>
      <c r="D169" s="52" t="s">
        <v>461</v>
      </c>
      <c r="E169" s="10">
        <v>45854</v>
      </c>
      <c r="F169" s="14" t="s">
        <v>207</v>
      </c>
      <c r="G169" s="50"/>
    </row>
    <row r="170" spans="1:7" ht="38.25" x14ac:dyDescent="0.2">
      <c r="A170" s="16">
        <f t="shared" si="2"/>
        <v>166</v>
      </c>
      <c r="B170" s="56" t="s">
        <v>463</v>
      </c>
      <c r="C170" s="51" t="s">
        <v>222</v>
      </c>
      <c r="D170" s="52" t="s">
        <v>464</v>
      </c>
      <c r="E170" s="10">
        <v>45901</v>
      </c>
      <c r="F170" s="14" t="s">
        <v>207</v>
      </c>
      <c r="G170" s="50"/>
    </row>
    <row r="171" spans="1:7" ht="38.25" x14ac:dyDescent="0.2">
      <c r="A171" s="16">
        <f t="shared" si="2"/>
        <v>167</v>
      </c>
      <c r="B171" s="56" t="s">
        <v>466</v>
      </c>
      <c r="C171" s="51" t="s">
        <v>222</v>
      </c>
      <c r="D171" s="52" t="s">
        <v>467</v>
      </c>
      <c r="E171" s="10">
        <v>46009</v>
      </c>
      <c r="F171" s="14" t="s">
        <v>207</v>
      </c>
      <c r="G171" s="50"/>
    </row>
    <row r="172" spans="1:7" ht="38.25" x14ac:dyDescent="0.2">
      <c r="A172" s="16">
        <f t="shared" si="2"/>
        <v>168</v>
      </c>
      <c r="B172" s="56" t="s">
        <v>468</v>
      </c>
      <c r="C172" s="51" t="s">
        <v>222</v>
      </c>
      <c r="D172" s="52" t="s">
        <v>469</v>
      </c>
      <c r="E172" s="10">
        <v>46038</v>
      </c>
      <c r="F172" s="14" t="s">
        <v>207</v>
      </c>
      <c r="G172" s="50"/>
    </row>
    <row r="173" spans="1:7" ht="38.25" x14ac:dyDescent="0.2">
      <c r="A173" s="16">
        <f t="shared" si="2"/>
        <v>169</v>
      </c>
      <c r="B173" s="23" t="s">
        <v>470</v>
      </c>
      <c r="C173" s="51" t="s">
        <v>222</v>
      </c>
      <c r="D173" s="52" t="s">
        <v>471</v>
      </c>
      <c r="E173" s="10">
        <v>46054</v>
      </c>
      <c r="F173" s="14" t="s">
        <v>207</v>
      </c>
      <c r="G173" s="50"/>
    </row>
    <row r="174" spans="1:7" ht="38.25" x14ac:dyDescent="0.2">
      <c r="A174" s="16">
        <f t="shared" si="2"/>
        <v>170</v>
      </c>
      <c r="B174" s="56" t="s">
        <v>472</v>
      </c>
      <c r="C174" s="51" t="s">
        <v>222</v>
      </c>
      <c r="D174" s="52" t="s">
        <v>473</v>
      </c>
      <c r="E174" s="10">
        <v>46062</v>
      </c>
      <c r="F174" s="14" t="s">
        <v>207</v>
      </c>
      <c r="G174" s="50"/>
    </row>
    <row r="175" spans="1:7" ht="38.25" x14ac:dyDescent="0.2">
      <c r="A175" s="16">
        <f t="shared" si="2"/>
        <v>171</v>
      </c>
      <c r="B175" s="56" t="s">
        <v>474</v>
      </c>
      <c r="C175" s="51" t="s">
        <v>222</v>
      </c>
      <c r="D175" s="52" t="s">
        <v>475</v>
      </c>
      <c r="E175" s="10">
        <v>46070</v>
      </c>
      <c r="F175" s="14" t="s">
        <v>207</v>
      </c>
      <c r="G175" s="50"/>
    </row>
    <row r="176" spans="1:7" ht="38.25" x14ac:dyDescent="0.2">
      <c r="A176" s="16">
        <f t="shared" si="2"/>
        <v>172</v>
      </c>
      <c r="B176" s="56" t="s">
        <v>476</v>
      </c>
      <c r="C176" s="51" t="s">
        <v>222</v>
      </c>
      <c r="D176" s="52" t="s">
        <v>477</v>
      </c>
      <c r="E176" s="10">
        <v>46070</v>
      </c>
      <c r="F176" s="14" t="s">
        <v>207</v>
      </c>
      <c r="G176" s="50"/>
    </row>
    <row r="177" spans="1:7" ht="38.25" x14ac:dyDescent="0.2">
      <c r="A177" s="16">
        <f t="shared" si="2"/>
        <v>173</v>
      </c>
      <c r="B177" s="56" t="s">
        <v>424</v>
      </c>
      <c r="C177" s="13" t="s">
        <v>222</v>
      </c>
      <c r="D177" s="52" t="s">
        <v>425</v>
      </c>
      <c r="E177" s="10">
        <v>46127</v>
      </c>
      <c r="F177" s="14" t="s">
        <v>207</v>
      </c>
      <c r="G177" s="50"/>
    </row>
    <row r="178" spans="1:7" ht="38.25" x14ac:dyDescent="0.2">
      <c r="A178" s="16">
        <f t="shared" si="2"/>
        <v>174</v>
      </c>
      <c r="B178" s="56" t="s">
        <v>426</v>
      </c>
      <c r="C178" s="13" t="s">
        <v>222</v>
      </c>
      <c r="D178" s="52" t="s">
        <v>427</v>
      </c>
      <c r="E178" s="10">
        <v>46156</v>
      </c>
      <c r="F178" s="14" t="s">
        <v>207</v>
      </c>
      <c r="G178" s="50"/>
    </row>
    <row r="179" spans="1:7" ht="38.25" x14ac:dyDescent="0.2">
      <c r="A179" s="16">
        <f t="shared" si="2"/>
        <v>175</v>
      </c>
      <c r="B179" s="56" t="s">
        <v>428</v>
      </c>
      <c r="C179" s="13" t="s">
        <v>222</v>
      </c>
      <c r="D179" s="52" t="s">
        <v>429</v>
      </c>
      <c r="E179" s="10">
        <v>46174</v>
      </c>
      <c r="F179" s="14" t="s">
        <v>207</v>
      </c>
      <c r="G179" s="50"/>
    </row>
    <row r="180" spans="1:7" ht="38.25" x14ac:dyDescent="0.2">
      <c r="A180" s="16">
        <f t="shared" si="2"/>
        <v>176</v>
      </c>
      <c r="B180" s="23" t="s">
        <v>430</v>
      </c>
      <c r="C180" s="13" t="s">
        <v>222</v>
      </c>
      <c r="D180" s="52" t="s">
        <v>431</v>
      </c>
      <c r="E180" s="10">
        <v>46170</v>
      </c>
      <c r="F180" s="14" t="s">
        <v>207</v>
      </c>
      <c r="G180" s="15" t="s">
        <v>434</v>
      </c>
    </row>
    <row r="181" spans="1:7" ht="38.25" x14ac:dyDescent="0.2">
      <c r="A181" s="16">
        <f t="shared" si="2"/>
        <v>177</v>
      </c>
      <c r="B181" s="23" t="s">
        <v>432</v>
      </c>
      <c r="C181" s="13" t="s">
        <v>222</v>
      </c>
      <c r="D181" s="52" t="s">
        <v>433</v>
      </c>
      <c r="E181" s="10">
        <v>46189</v>
      </c>
      <c r="F181" s="14" t="s">
        <v>207</v>
      </c>
      <c r="G181" s="15" t="s">
        <v>434</v>
      </c>
    </row>
    <row r="182" spans="1:7" ht="30" x14ac:dyDescent="0.2">
      <c r="A182" s="41"/>
      <c r="B182" s="56" t="s">
        <v>488</v>
      </c>
      <c r="C182" s="51" t="s">
        <v>222</v>
      </c>
      <c r="D182" s="52" t="s">
        <v>489</v>
      </c>
      <c r="E182" s="54">
        <v>44409</v>
      </c>
      <c r="F182" s="43"/>
      <c r="G182" s="50"/>
    </row>
    <row r="183" spans="1:7" ht="30" x14ac:dyDescent="0.2">
      <c r="A183" s="41"/>
      <c r="B183" s="59" t="s">
        <v>490</v>
      </c>
      <c r="C183" s="51" t="s">
        <v>222</v>
      </c>
      <c r="D183" s="60" t="s">
        <v>491</v>
      </c>
      <c r="E183" s="61">
        <v>39814</v>
      </c>
      <c r="F183" s="43"/>
      <c r="G183" s="50"/>
    </row>
    <row r="184" spans="1:7" ht="30" x14ac:dyDescent="0.2">
      <c r="A184" s="41"/>
      <c r="B184" s="56" t="s">
        <v>492</v>
      </c>
      <c r="C184" s="51" t="s">
        <v>493</v>
      </c>
      <c r="D184" s="52" t="s">
        <v>494</v>
      </c>
      <c r="E184" s="23"/>
      <c r="F184" s="43"/>
      <c r="G184" s="50"/>
    </row>
    <row r="185" spans="1:7" ht="30" x14ac:dyDescent="0.2">
      <c r="A185" s="41"/>
      <c r="B185" s="56" t="s">
        <v>495</v>
      </c>
      <c r="C185" s="51" t="s">
        <v>222</v>
      </c>
      <c r="D185" s="52" t="s">
        <v>496</v>
      </c>
      <c r="E185" s="54">
        <v>44075</v>
      </c>
      <c r="F185" s="43"/>
      <c r="G185" s="50"/>
    </row>
    <row r="186" spans="1:7" ht="30" x14ac:dyDescent="0.2">
      <c r="A186" s="41"/>
      <c r="B186" s="63" t="s">
        <v>497</v>
      </c>
      <c r="C186" s="51" t="s">
        <v>222</v>
      </c>
      <c r="D186" s="52" t="s">
        <v>146</v>
      </c>
      <c r="E186" s="62">
        <v>42826</v>
      </c>
      <c r="F186" s="43"/>
      <c r="G186" s="50"/>
    </row>
    <row r="187" spans="1:7" ht="30" x14ac:dyDescent="0.2">
      <c r="A187" s="41"/>
      <c r="B187" s="56" t="s">
        <v>498</v>
      </c>
      <c r="C187" s="51" t="s">
        <v>222</v>
      </c>
      <c r="D187" s="52" t="s">
        <v>499</v>
      </c>
      <c r="E187" s="54">
        <v>45200</v>
      </c>
      <c r="F187" s="43"/>
      <c r="G187" s="50"/>
    </row>
    <row r="188" spans="1:7" ht="30" x14ac:dyDescent="0.2">
      <c r="A188" s="41"/>
      <c r="B188" s="56" t="s">
        <v>500</v>
      </c>
      <c r="C188" s="51" t="s">
        <v>222</v>
      </c>
      <c r="D188" s="52" t="s">
        <v>501</v>
      </c>
      <c r="E188" s="54">
        <v>44256</v>
      </c>
      <c r="F188" s="43"/>
      <c r="G188" s="50"/>
    </row>
    <row r="189" spans="1:7" ht="30" x14ac:dyDescent="0.2">
      <c r="A189" s="41"/>
      <c r="B189" s="56" t="s">
        <v>502</v>
      </c>
      <c r="C189" s="51" t="s">
        <v>222</v>
      </c>
      <c r="D189" s="52" t="s">
        <v>503</v>
      </c>
      <c r="E189" s="54">
        <v>44228</v>
      </c>
      <c r="F189" s="43"/>
      <c r="G189" s="50"/>
    </row>
    <row r="190" spans="1:7" ht="30" x14ac:dyDescent="0.2">
      <c r="A190" s="41"/>
      <c r="B190" s="56" t="s">
        <v>505</v>
      </c>
      <c r="C190" s="51" t="s">
        <v>222</v>
      </c>
      <c r="D190" s="52" t="s">
        <v>506</v>
      </c>
      <c r="E190" s="54">
        <v>44166</v>
      </c>
      <c r="F190" s="43"/>
      <c r="G190" s="50"/>
    </row>
    <row r="191" spans="1:7" ht="30" x14ac:dyDescent="0.2">
      <c r="A191" s="41"/>
      <c r="B191" s="56" t="s">
        <v>507</v>
      </c>
      <c r="C191" s="51" t="s">
        <v>222</v>
      </c>
      <c r="D191" s="52" t="s">
        <v>508</v>
      </c>
      <c r="E191" s="54">
        <v>44228</v>
      </c>
      <c r="F191" s="43"/>
      <c r="G191" s="50"/>
    </row>
    <row r="192" spans="1:7" ht="30" x14ac:dyDescent="0.2">
      <c r="A192" s="41"/>
      <c r="B192" s="67" t="s">
        <v>509</v>
      </c>
      <c r="C192" s="51" t="s">
        <v>222</v>
      </c>
      <c r="D192" s="65" t="s">
        <v>510</v>
      </c>
      <c r="E192" s="66">
        <v>39814</v>
      </c>
      <c r="F192" s="43"/>
      <c r="G192" s="50"/>
    </row>
    <row r="193" spans="1:7" ht="30" x14ac:dyDescent="0.2">
      <c r="A193" s="41"/>
      <c r="B193" s="56" t="s">
        <v>511</v>
      </c>
      <c r="C193" s="51" t="s">
        <v>222</v>
      </c>
      <c r="D193" s="52" t="s">
        <v>512</v>
      </c>
      <c r="E193" s="54">
        <v>43487</v>
      </c>
      <c r="F193" s="43"/>
      <c r="G193" s="50"/>
    </row>
    <row r="194" spans="1:7" ht="30" x14ac:dyDescent="0.2">
      <c r="A194" s="41"/>
      <c r="B194" s="63" t="s">
        <v>513</v>
      </c>
      <c r="C194" s="51" t="s">
        <v>222</v>
      </c>
      <c r="D194" s="52" t="s">
        <v>514</v>
      </c>
      <c r="E194" s="54">
        <v>43405</v>
      </c>
      <c r="F194" s="43"/>
      <c r="G194" s="50"/>
    </row>
    <row r="195" spans="1:7" ht="30" x14ac:dyDescent="0.2">
      <c r="A195" s="41"/>
      <c r="B195" s="63" t="s">
        <v>515</v>
      </c>
      <c r="C195" s="51" t="s">
        <v>222</v>
      </c>
      <c r="D195" s="52" t="s">
        <v>139</v>
      </c>
      <c r="E195" s="62">
        <v>42856</v>
      </c>
      <c r="F195" s="43"/>
      <c r="G195" s="50"/>
    </row>
    <row r="196" spans="1:7" ht="30" x14ac:dyDescent="0.2">
      <c r="A196" s="41"/>
      <c r="B196" s="56" t="s">
        <v>516</v>
      </c>
      <c r="C196" s="51" t="s">
        <v>222</v>
      </c>
      <c r="D196" s="52" t="s">
        <v>517</v>
      </c>
      <c r="E196" s="54">
        <v>44409</v>
      </c>
      <c r="F196" s="43"/>
      <c r="G196" s="50"/>
    </row>
    <row r="197" spans="1:7" ht="30" x14ac:dyDescent="0.2">
      <c r="A197" s="41"/>
      <c r="B197" s="56" t="s">
        <v>518</v>
      </c>
      <c r="C197" s="51" t="s">
        <v>222</v>
      </c>
      <c r="D197" s="52" t="s">
        <v>519</v>
      </c>
      <c r="E197" s="54">
        <v>44501</v>
      </c>
      <c r="F197" s="43"/>
      <c r="G197" s="50"/>
    </row>
    <row r="198" spans="1:7" ht="30" x14ac:dyDescent="0.2">
      <c r="A198" s="41"/>
      <c r="B198" s="56" t="s">
        <v>520</v>
      </c>
      <c r="C198" s="51" t="s">
        <v>222</v>
      </c>
      <c r="D198" s="52" t="s">
        <v>521</v>
      </c>
      <c r="E198" s="54">
        <v>44501</v>
      </c>
      <c r="F198" s="43"/>
      <c r="G198" s="50"/>
    </row>
    <row r="199" spans="1:7" ht="30" x14ac:dyDescent="0.2">
      <c r="A199" s="41"/>
      <c r="B199" s="56" t="s">
        <v>522</v>
      </c>
      <c r="C199" s="51" t="s">
        <v>222</v>
      </c>
      <c r="D199" s="52" t="s">
        <v>523</v>
      </c>
      <c r="E199" s="54">
        <v>44501</v>
      </c>
      <c r="F199" s="43"/>
      <c r="G199" s="50"/>
    </row>
    <row r="200" spans="1:7" ht="30" x14ac:dyDescent="0.2">
      <c r="A200" s="41"/>
      <c r="B200" s="56" t="s">
        <v>524</v>
      </c>
      <c r="C200" s="51" t="s">
        <v>222</v>
      </c>
      <c r="D200" s="52" t="s">
        <v>525</v>
      </c>
      <c r="E200" s="54">
        <v>44501</v>
      </c>
      <c r="F200" s="43"/>
      <c r="G200" s="50"/>
    </row>
    <row r="201" spans="1:7" ht="30" x14ac:dyDescent="0.2">
      <c r="A201" s="41"/>
      <c r="B201" s="56" t="s">
        <v>526</v>
      </c>
      <c r="C201" s="51" t="s">
        <v>222</v>
      </c>
      <c r="D201" s="52" t="s">
        <v>527</v>
      </c>
      <c r="E201" s="54">
        <v>44515</v>
      </c>
      <c r="F201" s="43"/>
      <c r="G201" s="50"/>
    </row>
    <row r="202" spans="1:7" ht="30" x14ac:dyDescent="0.2">
      <c r="A202" s="41"/>
      <c r="B202" s="56" t="s">
        <v>528</v>
      </c>
      <c r="C202" s="51" t="s">
        <v>222</v>
      </c>
      <c r="D202" s="52" t="s">
        <v>529</v>
      </c>
      <c r="E202" s="54">
        <v>44652</v>
      </c>
      <c r="F202" s="43"/>
      <c r="G202" s="50"/>
    </row>
    <row r="203" spans="1:7" ht="30" x14ac:dyDescent="0.2">
      <c r="A203" s="41"/>
      <c r="B203" s="56" t="s">
        <v>530</v>
      </c>
      <c r="C203" s="51" t="s">
        <v>222</v>
      </c>
      <c r="D203" s="52" t="s">
        <v>531</v>
      </c>
      <c r="E203" s="54">
        <v>44652</v>
      </c>
      <c r="F203" s="43"/>
      <c r="G203" s="50"/>
    </row>
    <row r="204" spans="1:7" ht="30" x14ac:dyDescent="0.2">
      <c r="A204" s="41"/>
      <c r="B204" s="56" t="s">
        <v>532</v>
      </c>
      <c r="C204" s="51" t="s">
        <v>222</v>
      </c>
      <c r="D204" s="52" t="s">
        <v>533</v>
      </c>
      <c r="E204" s="54">
        <v>45103</v>
      </c>
      <c r="F204" s="43"/>
      <c r="G204" s="50"/>
    </row>
    <row r="205" spans="1:7" ht="30" x14ac:dyDescent="0.2">
      <c r="A205" s="41"/>
      <c r="B205" s="56" t="s">
        <v>534</v>
      </c>
      <c r="C205" s="51" t="s">
        <v>222</v>
      </c>
      <c r="D205" s="52" t="s">
        <v>535</v>
      </c>
      <c r="E205" s="54">
        <v>45108</v>
      </c>
      <c r="F205" s="43"/>
      <c r="G205" s="50"/>
    </row>
    <row r="206" spans="1:7" ht="30" x14ac:dyDescent="0.2">
      <c r="A206" s="41"/>
      <c r="B206" s="56" t="s">
        <v>536</v>
      </c>
      <c r="C206" s="51" t="s">
        <v>222</v>
      </c>
      <c r="D206" s="52" t="s">
        <v>537</v>
      </c>
      <c r="E206" s="54">
        <v>45139</v>
      </c>
      <c r="F206" s="43"/>
      <c r="G206" s="50"/>
    </row>
    <row r="207" spans="1:7" ht="30" x14ac:dyDescent="0.2">
      <c r="A207" s="41"/>
      <c r="B207" s="63" t="s">
        <v>538</v>
      </c>
      <c r="C207" s="51" t="s">
        <v>222</v>
      </c>
      <c r="D207" s="52" t="s">
        <v>539</v>
      </c>
      <c r="E207" s="62"/>
      <c r="F207" s="43"/>
      <c r="G207" s="50"/>
    </row>
    <row r="208" spans="1:7" ht="30" x14ac:dyDescent="0.2">
      <c r="A208" s="41"/>
      <c r="B208" s="56" t="s">
        <v>540</v>
      </c>
      <c r="C208" s="51" t="s">
        <v>222</v>
      </c>
      <c r="D208" s="52" t="s">
        <v>541</v>
      </c>
      <c r="E208" s="54">
        <v>44743</v>
      </c>
      <c r="F208" s="43"/>
      <c r="G208" s="50"/>
    </row>
    <row r="209" spans="1:7" ht="30" x14ac:dyDescent="0.2">
      <c r="A209" s="41"/>
      <c r="B209" s="63" t="s">
        <v>542</v>
      </c>
      <c r="C209" s="51" t="s">
        <v>222</v>
      </c>
      <c r="D209" s="52" t="s">
        <v>587</v>
      </c>
      <c r="E209" s="62">
        <v>42856</v>
      </c>
      <c r="F209" s="43"/>
      <c r="G209" s="50"/>
    </row>
    <row r="210" spans="1:7" ht="30" x14ac:dyDescent="0.2">
      <c r="A210" s="41"/>
      <c r="B210" s="56" t="s">
        <v>543</v>
      </c>
      <c r="C210" s="51" t="s">
        <v>222</v>
      </c>
      <c r="D210" s="52" t="s">
        <v>544</v>
      </c>
      <c r="E210" s="70">
        <v>44440</v>
      </c>
      <c r="F210" s="43"/>
      <c r="G210" s="50"/>
    </row>
    <row r="211" spans="1:7" ht="30" x14ac:dyDescent="0.2">
      <c r="A211" s="41"/>
      <c r="B211" s="56" t="s">
        <v>545</v>
      </c>
      <c r="C211" s="51" t="s">
        <v>222</v>
      </c>
      <c r="D211" s="52" t="s">
        <v>546</v>
      </c>
      <c r="E211" s="54">
        <v>44743</v>
      </c>
      <c r="F211" s="43"/>
      <c r="G211" s="50"/>
    </row>
    <row r="212" spans="1:7" ht="30" x14ac:dyDescent="0.2">
      <c r="A212" s="41"/>
      <c r="B212" s="56" t="s">
        <v>547</v>
      </c>
      <c r="C212" s="51" t="s">
        <v>222</v>
      </c>
      <c r="D212" s="52" t="s">
        <v>548</v>
      </c>
      <c r="E212" s="54">
        <v>44743</v>
      </c>
      <c r="F212" s="43"/>
      <c r="G212" s="50"/>
    </row>
    <row r="213" spans="1:7" ht="30" x14ac:dyDescent="0.2">
      <c r="A213" s="41"/>
      <c r="B213" s="56" t="s">
        <v>549</v>
      </c>
      <c r="C213" s="51" t="s">
        <v>222</v>
      </c>
      <c r="D213" s="52" t="s">
        <v>550</v>
      </c>
      <c r="E213" s="54">
        <v>44733</v>
      </c>
      <c r="F213" s="43"/>
      <c r="G213" s="50"/>
    </row>
    <row r="214" spans="1:7" ht="30" x14ac:dyDescent="0.2">
      <c r="A214" s="41"/>
      <c r="B214" s="56" t="s">
        <v>551</v>
      </c>
      <c r="C214" s="51" t="s">
        <v>222</v>
      </c>
      <c r="D214" s="52" t="s">
        <v>552</v>
      </c>
      <c r="E214" s="72">
        <v>44858</v>
      </c>
      <c r="F214" s="43"/>
      <c r="G214" s="50"/>
    </row>
    <row r="215" spans="1:7" ht="30" x14ac:dyDescent="0.2">
      <c r="A215" s="41"/>
      <c r="B215" s="56" t="s">
        <v>553</v>
      </c>
      <c r="C215" s="51" t="s">
        <v>222</v>
      </c>
      <c r="D215" s="52" t="s">
        <v>554</v>
      </c>
      <c r="E215" s="54">
        <v>44287</v>
      </c>
      <c r="F215" s="43"/>
      <c r="G215" s="50"/>
    </row>
    <row r="216" spans="1:7" ht="30" x14ac:dyDescent="0.2">
      <c r="A216" s="41"/>
      <c r="B216" s="56" t="s">
        <v>555</v>
      </c>
      <c r="C216" s="51" t="s">
        <v>222</v>
      </c>
      <c r="D216" s="52" t="s">
        <v>556</v>
      </c>
      <c r="E216" s="54">
        <v>44958</v>
      </c>
      <c r="F216" s="43"/>
      <c r="G216" s="50"/>
    </row>
    <row r="217" spans="1:7" ht="30" x14ac:dyDescent="0.2">
      <c r="A217" s="41"/>
      <c r="B217" s="56" t="s">
        <v>557</v>
      </c>
      <c r="C217" s="51" t="s">
        <v>222</v>
      </c>
      <c r="D217" s="52" t="s">
        <v>558</v>
      </c>
      <c r="E217" s="54">
        <v>45017</v>
      </c>
      <c r="F217" s="43"/>
      <c r="G217" s="50"/>
    </row>
    <row r="218" spans="1:7" ht="30" x14ac:dyDescent="0.2">
      <c r="A218" s="41"/>
      <c r="B218" s="56" t="s">
        <v>559</v>
      </c>
      <c r="C218" s="51" t="s">
        <v>222</v>
      </c>
      <c r="D218" s="52" t="s">
        <v>560</v>
      </c>
      <c r="E218" s="54">
        <v>45085</v>
      </c>
      <c r="F218" s="43"/>
      <c r="G218" s="50"/>
    </row>
    <row r="219" spans="1:7" ht="30" x14ac:dyDescent="0.2">
      <c r="A219" s="41"/>
      <c r="B219" s="63" t="s">
        <v>561</v>
      </c>
      <c r="C219" s="51" t="s">
        <v>222</v>
      </c>
      <c r="D219" s="65" t="s">
        <v>562</v>
      </c>
      <c r="E219" s="61">
        <v>42485</v>
      </c>
      <c r="F219" s="43"/>
      <c r="G219" s="50"/>
    </row>
    <row r="220" spans="1:7" ht="30" x14ac:dyDescent="0.2">
      <c r="A220" s="41"/>
      <c r="B220" s="56" t="s">
        <v>563</v>
      </c>
      <c r="C220" s="51" t="s">
        <v>222</v>
      </c>
      <c r="D220" s="52" t="s">
        <v>564</v>
      </c>
      <c r="E220" s="54">
        <v>45223</v>
      </c>
      <c r="F220" s="43"/>
      <c r="G220" s="50"/>
    </row>
    <row r="221" spans="1:7" ht="30" x14ac:dyDescent="0.2">
      <c r="A221" s="41"/>
      <c r="B221" s="56" t="s">
        <v>565</v>
      </c>
      <c r="C221" s="51" t="s">
        <v>222</v>
      </c>
      <c r="D221" s="52" t="s">
        <v>566</v>
      </c>
      <c r="E221" s="54">
        <v>45261</v>
      </c>
      <c r="F221" s="43"/>
      <c r="G221" s="50"/>
    </row>
    <row r="222" spans="1:7" ht="30" x14ac:dyDescent="0.2">
      <c r="A222" s="41"/>
      <c r="B222" s="56" t="s">
        <v>567</v>
      </c>
      <c r="C222" s="51" t="s">
        <v>222</v>
      </c>
      <c r="D222" s="52" t="s">
        <v>568</v>
      </c>
      <c r="E222" s="54">
        <v>45257</v>
      </c>
      <c r="F222" s="43"/>
      <c r="G222" s="50"/>
    </row>
    <row r="223" spans="1:7" ht="30" x14ac:dyDescent="0.2">
      <c r="A223" s="41"/>
      <c r="B223" s="56" t="s">
        <v>569</v>
      </c>
      <c r="C223" s="51" t="s">
        <v>222</v>
      </c>
      <c r="D223" s="52" t="s">
        <v>570</v>
      </c>
      <c r="E223" s="54">
        <v>45079</v>
      </c>
      <c r="F223" s="43"/>
      <c r="G223" s="50"/>
    </row>
    <row r="224" spans="1:7" ht="30" x14ac:dyDescent="0.2">
      <c r="A224" s="41"/>
      <c r="B224" s="56" t="s">
        <v>571</v>
      </c>
      <c r="C224" s="51" t="s">
        <v>222</v>
      </c>
      <c r="D224" s="52" t="s">
        <v>572</v>
      </c>
      <c r="E224" s="54">
        <v>45352</v>
      </c>
      <c r="F224" s="43"/>
      <c r="G224" s="50"/>
    </row>
    <row r="225" spans="1:9" ht="30" x14ac:dyDescent="0.2">
      <c r="A225" s="41"/>
      <c r="B225" s="56" t="s">
        <v>573</v>
      </c>
      <c r="C225" s="51" t="s">
        <v>222</v>
      </c>
      <c r="D225" s="52" t="s">
        <v>574</v>
      </c>
      <c r="E225" s="55">
        <v>45689</v>
      </c>
      <c r="F225" s="43"/>
      <c r="G225" s="50"/>
    </row>
    <row r="226" spans="1:9" ht="30" x14ac:dyDescent="0.2">
      <c r="A226" s="41"/>
      <c r="B226" s="56" t="s">
        <v>575</v>
      </c>
      <c r="C226" s="51" t="s">
        <v>222</v>
      </c>
      <c r="D226" s="52" t="s">
        <v>576</v>
      </c>
      <c r="E226" s="54">
        <v>45026</v>
      </c>
      <c r="F226" s="43"/>
      <c r="G226" s="50"/>
    </row>
    <row r="227" spans="1:9" ht="30" x14ac:dyDescent="0.2">
      <c r="A227" s="41"/>
      <c r="B227" s="56" t="s">
        <v>577</v>
      </c>
      <c r="C227" s="51" t="s">
        <v>222</v>
      </c>
      <c r="D227" s="52" t="s">
        <v>578</v>
      </c>
      <c r="E227" s="54">
        <v>45261</v>
      </c>
      <c r="F227" s="43"/>
      <c r="G227" s="50"/>
    </row>
    <row r="228" spans="1:9" ht="30" x14ac:dyDescent="0.2">
      <c r="A228" s="41"/>
      <c r="B228" s="56" t="s">
        <v>579</v>
      </c>
      <c r="C228" s="51" t="s">
        <v>222</v>
      </c>
      <c r="D228" s="52" t="s">
        <v>580</v>
      </c>
      <c r="E228" s="54">
        <v>44562</v>
      </c>
      <c r="F228" s="43"/>
      <c r="G228" s="50"/>
    </row>
    <row r="229" spans="1:9" ht="30" x14ac:dyDescent="0.2">
      <c r="A229" s="41"/>
      <c r="B229" s="74" t="s">
        <v>581</v>
      </c>
      <c r="C229" s="51" t="s">
        <v>222</v>
      </c>
      <c r="D229" s="65" t="s">
        <v>582</v>
      </c>
      <c r="E229" s="66">
        <v>39891</v>
      </c>
      <c r="F229" s="43"/>
      <c r="G229" s="50"/>
    </row>
    <row r="230" spans="1:9" ht="30" x14ac:dyDescent="0.2">
      <c r="A230" s="41"/>
      <c r="B230" s="56" t="s">
        <v>583</v>
      </c>
      <c r="C230" s="51" t="s">
        <v>222</v>
      </c>
      <c r="D230" s="52" t="s">
        <v>584</v>
      </c>
      <c r="E230" s="54">
        <v>45180</v>
      </c>
      <c r="F230" s="43"/>
      <c r="G230" s="50"/>
    </row>
    <row r="231" spans="1:9" ht="30" x14ac:dyDescent="0.2">
      <c r="A231" s="41"/>
      <c r="B231" s="74" t="s">
        <v>585</v>
      </c>
      <c r="C231" s="51" t="s">
        <v>222</v>
      </c>
      <c r="D231" s="65" t="s">
        <v>586</v>
      </c>
      <c r="E231" s="66">
        <v>42370</v>
      </c>
      <c r="F231" s="43"/>
      <c r="G231" s="50"/>
    </row>
    <row r="232" spans="1:9" ht="15.75" x14ac:dyDescent="0.2">
      <c r="A232" s="41"/>
      <c r="B232" s="20"/>
      <c r="C232" s="42"/>
      <c r="D232" s="20"/>
      <c r="E232" s="21"/>
      <c r="F232" s="43"/>
      <c r="G232" s="43"/>
    </row>
    <row r="233" spans="1:9" ht="15" x14ac:dyDescent="0.2">
      <c r="A233" s="3"/>
      <c r="B233" s="3" t="s">
        <v>294</v>
      </c>
      <c r="C233" s="3" t="s">
        <v>295</v>
      </c>
      <c r="D233" s="3"/>
      <c r="E233" s="3" t="s">
        <v>296</v>
      </c>
      <c r="F233" s="3"/>
      <c r="G233" s="43"/>
    </row>
    <row r="234" spans="1:9" x14ac:dyDescent="0.2">
      <c r="G234" s="43"/>
    </row>
    <row r="235" spans="1:9" x14ac:dyDescent="0.2">
      <c r="G235" s="43"/>
    </row>
    <row r="236" spans="1:9" x14ac:dyDescent="0.2">
      <c r="G236" s="43"/>
    </row>
    <row r="237" spans="1:9" x14ac:dyDescent="0.2">
      <c r="G237" s="43"/>
    </row>
    <row r="238" spans="1:9" x14ac:dyDescent="0.2">
      <c r="G238" s="1"/>
      <c r="H238" s="1"/>
      <c r="I238" s="1"/>
    </row>
    <row r="239" spans="1:9" x14ac:dyDescent="0.2">
      <c r="G239" s="1"/>
      <c r="H239" s="1"/>
      <c r="I239" s="1"/>
    </row>
    <row r="240" spans="1:9" x14ac:dyDescent="0.2">
      <c r="G240" s="1"/>
      <c r="H240" s="1"/>
      <c r="I240" s="1"/>
    </row>
    <row r="241" spans="1:9" x14ac:dyDescent="0.2">
      <c r="G241" s="1"/>
      <c r="H241" s="1"/>
      <c r="I241" s="1"/>
    </row>
    <row r="242" spans="1:9" x14ac:dyDescent="0.2">
      <c r="G242" s="1"/>
      <c r="H242" s="1"/>
      <c r="I242" s="1"/>
    </row>
    <row r="243" spans="1:9" x14ac:dyDescent="0.2">
      <c r="G243" s="1"/>
      <c r="H243" s="1"/>
      <c r="I243" s="1"/>
    </row>
    <row r="244" spans="1:9" x14ac:dyDescent="0.2">
      <c r="G244" s="1"/>
      <c r="H244" s="1"/>
      <c r="I244" s="1"/>
    </row>
    <row r="245" spans="1:9" x14ac:dyDescent="0.2">
      <c r="G245" s="1"/>
      <c r="H245" s="1"/>
      <c r="I245" s="1"/>
    </row>
    <row r="246" spans="1:9" x14ac:dyDescent="0.2">
      <c r="G246" s="1"/>
      <c r="H246" s="1"/>
      <c r="I246" s="1"/>
    </row>
    <row r="247" spans="1:9" ht="15" x14ac:dyDescent="0.2">
      <c r="A247"/>
      <c r="B247" s="3"/>
      <c r="C247" s="3"/>
      <c r="D247" s="3"/>
      <c r="E247" s="3"/>
      <c r="G247" s="1"/>
      <c r="H247" s="1"/>
      <c r="I247" s="1"/>
    </row>
    <row r="248" spans="1:9" x14ac:dyDescent="0.2">
      <c r="G248" s="1"/>
      <c r="H248" s="1"/>
      <c r="I248" s="1"/>
    </row>
    <row r="249" spans="1:9" x14ac:dyDescent="0.2">
      <c r="G249" s="1"/>
      <c r="H249" s="1"/>
      <c r="I249" s="1"/>
    </row>
    <row r="250" spans="1:9" x14ac:dyDescent="0.2">
      <c r="G250" s="1"/>
      <c r="H250" s="1"/>
      <c r="I250" s="1"/>
    </row>
    <row r="251" spans="1:9" x14ac:dyDescent="0.2">
      <c r="G251" s="1"/>
      <c r="H251" s="1"/>
      <c r="I251" s="1"/>
    </row>
    <row r="252" spans="1:9" x14ac:dyDescent="0.2">
      <c r="G252" s="1"/>
      <c r="H252" s="1"/>
      <c r="I252" s="1"/>
    </row>
    <row r="253" spans="1:9" x14ac:dyDescent="0.2">
      <c r="G253" s="1"/>
      <c r="H253" s="1"/>
      <c r="I253" s="1"/>
    </row>
    <row r="254" spans="1:9" x14ac:dyDescent="0.2">
      <c r="G254" s="1"/>
      <c r="H254" s="1"/>
      <c r="I254" s="1"/>
    </row>
    <row r="255" spans="1:9" x14ac:dyDescent="0.2">
      <c r="G255" s="1"/>
      <c r="H255" s="1"/>
      <c r="I255" s="1"/>
    </row>
    <row r="256" spans="1:9" x14ac:dyDescent="0.2">
      <c r="G256" s="1"/>
      <c r="H256" s="1"/>
      <c r="I256" s="1"/>
    </row>
    <row r="257" spans="7:9" x14ac:dyDescent="0.2">
      <c r="G257" s="1"/>
      <c r="H257" s="1"/>
      <c r="I257" s="1"/>
    </row>
    <row r="258" spans="7:9" x14ac:dyDescent="0.2">
      <c r="G258" s="1"/>
      <c r="H258" s="1"/>
      <c r="I258" s="1"/>
    </row>
    <row r="259" spans="7:9" x14ac:dyDescent="0.2">
      <c r="G259" s="1"/>
      <c r="H259" s="1"/>
      <c r="I259" s="1"/>
    </row>
    <row r="260" spans="7:9" x14ac:dyDescent="0.2">
      <c r="G260" s="1"/>
      <c r="H260" s="1"/>
      <c r="I260" s="1"/>
    </row>
    <row r="261" spans="7:9" x14ac:dyDescent="0.2">
      <c r="G261" s="1"/>
      <c r="H261" s="1"/>
      <c r="I261" s="1"/>
    </row>
    <row r="262" spans="7:9" x14ac:dyDescent="0.2">
      <c r="G262" s="1"/>
      <c r="H262" s="1"/>
      <c r="I262" s="1"/>
    </row>
    <row r="263" spans="7:9" x14ac:dyDescent="0.2">
      <c r="G263" s="1"/>
      <c r="H263" s="1"/>
      <c r="I263" s="1"/>
    </row>
    <row r="264" spans="7:9" x14ac:dyDescent="0.2">
      <c r="G264" s="1"/>
      <c r="H264" s="1"/>
      <c r="I264" s="1"/>
    </row>
    <row r="265" spans="7:9" x14ac:dyDescent="0.2">
      <c r="G265" s="1"/>
      <c r="H265" s="1"/>
      <c r="I265" s="1"/>
    </row>
    <row r="266" spans="7:9" x14ac:dyDescent="0.2">
      <c r="G266" s="1"/>
      <c r="H266" s="1"/>
      <c r="I266" s="1"/>
    </row>
    <row r="267" spans="7:9" x14ac:dyDescent="0.2">
      <c r="G267" s="1"/>
      <c r="H267" s="1"/>
      <c r="I267" s="1"/>
    </row>
    <row r="268" spans="7:9" x14ac:dyDescent="0.2">
      <c r="G268" s="1"/>
      <c r="H268" s="1"/>
      <c r="I268" s="1"/>
    </row>
    <row r="269" spans="7:9" x14ac:dyDescent="0.2">
      <c r="G269" s="1"/>
      <c r="H269" s="1"/>
      <c r="I269" s="1"/>
    </row>
    <row r="270" spans="7:9" x14ac:dyDescent="0.2">
      <c r="G270" s="1"/>
      <c r="H270" s="1"/>
      <c r="I270" s="1"/>
    </row>
    <row r="271" spans="7:9" x14ac:dyDescent="0.2">
      <c r="G271" s="1"/>
      <c r="H271" s="1"/>
      <c r="I271" s="1"/>
    </row>
    <row r="272" spans="7:9" x14ac:dyDescent="0.2">
      <c r="G272" s="1"/>
      <c r="H272" s="1"/>
      <c r="I272" s="1"/>
    </row>
    <row r="273" spans="7:9" x14ac:dyDescent="0.2">
      <c r="G273" s="1"/>
      <c r="H273" s="1"/>
      <c r="I273" s="1"/>
    </row>
    <row r="274" spans="7:9" x14ac:dyDescent="0.2">
      <c r="G274" s="1"/>
      <c r="H274" s="1"/>
      <c r="I274" s="1"/>
    </row>
    <row r="275" spans="7:9" x14ac:dyDescent="0.2">
      <c r="G275" s="1"/>
      <c r="H275" s="1"/>
      <c r="I275" s="1"/>
    </row>
    <row r="276" spans="7:9" x14ac:dyDescent="0.2">
      <c r="G276" s="1"/>
      <c r="H276" s="1"/>
      <c r="I276" s="1"/>
    </row>
    <row r="277" spans="7:9" x14ac:dyDescent="0.2">
      <c r="G277" s="1"/>
      <c r="H277" s="1"/>
      <c r="I277" s="1"/>
    </row>
  </sheetData>
  <autoFilter ref="A4:G229" xr:uid="{C22CE931-E42B-45EE-B861-62D573A2DE9E}"/>
  <mergeCells count="1">
    <mergeCell ref="A2:E2"/>
  </mergeCells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Внешние</vt:lpstr>
      <vt:lpstr>Потребители КЗ</vt:lpstr>
      <vt:lpstr>Потребители КЗ (2)</vt:lpstr>
      <vt:lpstr>'Потребители КЗ'!Print_Area</vt:lpstr>
      <vt:lpstr>'Потребители КЗ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sa</cp:lastModifiedBy>
  <cp:lastPrinted>2021-07-27T08:06:27Z</cp:lastPrinted>
  <dcterms:created xsi:type="dcterms:W3CDTF">2008-06-16T11:17:33Z</dcterms:created>
  <dcterms:modified xsi:type="dcterms:W3CDTF">2026-07-12T08:42:21Z</dcterms:modified>
</cp:coreProperties>
</file>