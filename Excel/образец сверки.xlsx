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a\Downloads\Project_001\Excel\"/>
    </mc:Choice>
  </mc:AlternateContent>
  <xr:revisionPtr revIDLastSave="0" documentId="13_ncr:1_{5E3B3E80-4C3F-47AB-8E30-549DC58E571F}" xr6:coauthVersionLast="47" xr6:coauthVersionMax="47" xr10:uidLastSave="{00000000-0000-0000-0000-000000000000}"/>
  <bookViews>
    <workbookView xWindow="29385" yWindow="885" windowWidth="9375" windowHeight="13830" xr2:uid="{00000000-000D-0000-FFFF-FFFF00000000}"/>
  </bookViews>
  <sheets>
    <sheet name="МАКЕТ" sheetId="1" r:id="rId1"/>
  </sheets>
  <externalReferences>
    <externalReference r:id="rId2"/>
  </externalReferences>
  <definedNames>
    <definedName name="_xlnm._FilterDatabase" localSheetId="0" hidden="1">МАКЕТ!$A$11:$Y$237</definedName>
    <definedName name="Z_00E2FA94_E7E7_41FB_9ED2_45ADDF46CC3D_.wvu.FilterData" localSheetId="0" hidden="1">МАКЕТ!$A$11:$Y$237</definedName>
    <definedName name="Z_09B26E7E_8D4D_471D_BB9C_BB69EAB4CB0D_.wvu.FilterData" localSheetId="0" hidden="1">МАКЕТ!$H$1:$H$249</definedName>
    <definedName name="Z_0B370802_6097_4789_9CC3_68DF7C8A2286_.wvu.FilterData" localSheetId="0" hidden="1">МАКЕТ!$A$11:$Y$237</definedName>
    <definedName name="Z_1159B436_6E69_40D6_AF24_5FE65DC8A9F7_.wvu.FilterData" localSheetId="0" hidden="1">МАКЕТ!$A$11:$Y$237</definedName>
    <definedName name="Z_123CDF1D_07B0_402C_BD70_9E1E3729B167_.wvu.FilterData" localSheetId="0" hidden="1">МАКЕТ!$H$1:$H$249</definedName>
    <definedName name="Z_1418A75C_775E_4EC1_82D2_8AAC2A64EC51_.wvu.FilterData" localSheetId="0" hidden="1">МАКЕТ!$A$11:$H$237</definedName>
    <definedName name="Z_15940FB1_11C2_45A7_84D9_160A315D9144_.wvu.FilterData" localSheetId="0" hidden="1">МАКЕТ!$I$7:$I$249</definedName>
    <definedName name="Z_1A76A8C7_2A58_4962_B8F3_9BBDE73578A7_.wvu.FilterData" localSheetId="0" hidden="1">МАКЕТ!$A$11:$Y$237</definedName>
    <definedName name="Z_1DD2C6A6_8CFC_4840_835C_AF9E2886B354_.wvu.FilterData" localSheetId="0" hidden="1">МАКЕТ!$A$11:$Y$237</definedName>
    <definedName name="Z_1FC7CBDA_0FF7_47F0_B313_6FB48E27ACEE_.wvu.FilterData" localSheetId="0" hidden="1">МАКЕТ!$A$11:$H$237</definedName>
    <definedName name="Z_2CDB0F8E_688B_460A_B50F_52607B34926F_.wvu.FilterData" localSheetId="0" hidden="1">МАКЕТ!$A$11:$H$237</definedName>
    <definedName name="Z_2D2EEE65_0BEB_46BD_99D2_96FC4E4ED44F_.wvu.FilterData" localSheetId="0" hidden="1">МАКЕТ!$A$11:$Y$237</definedName>
    <definedName name="Z_31196E27_1054_49E4_A2E5_7D679706278A_.wvu.FilterData" localSheetId="0" hidden="1">МАКЕТ!$A$11:$Y$237</definedName>
    <definedName name="Z_3373B3C9_0B41_40F9_9E21_824A199B9153_.wvu.FilterData" localSheetId="0" hidden="1">МАКЕТ!$H$1:$H$249</definedName>
    <definedName name="Z_34449F8F_CAA3_401E_A07A_5369F228020D_.wvu.FilterData" localSheetId="0" hidden="1">МАКЕТ!$A$11:$Y$237</definedName>
    <definedName name="Z_41357E87_6379_4D6A_A200_938AA501281C_.wvu.FilterData" localSheetId="0" hidden="1">МАКЕТ!$A$11:$Y$237</definedName>
    <definedName name="Z_45533F18_0E11_48A5_A3BC_B7538F581C4B_.wvu.FilterData" localSheetId="0" hidden="1">МАКЕТ!$A$11:$Y$237</definedName>
    <definedName name="Z_45D6886B_7770_4B1F_9136_D714052CDCAC_.wvu.Cols" localSheetId="0" hidden="1">МАКЕТ!$A:$D</definedName>
    <definedName name="Z_45D6886B_7770_4B1F_9136_D714052CDCAC_.wvu.FilterData" localSheetId="0" hidden="1">МАКЕТ!$H$1:$H$274</definedName>
    <definedName name="Z_54734C0B_5F17_4BFF_93BF_FB8181FB0C85_.wvu.FilterData" localSheetId="0" hidden="1">МАКЕТ!$A$11:$H$237</definedName>
    <definedName name="Z_5A546D8A_ED26_4CD1_9F61_44862BF7FA27_.wvu.FilterData" localSheetId="0" hidden="1">МАКЕТ!$A$11:$Y$237</definedName>
    <definedName name="Z_644B6589_CC5E_4863_96BB_FC5FDBC66BBA_.wvu.FilterData" localSheetId="0" hidden="1">МАКЕТ!$A$11:$Y$237</definedName>
    <definedName name="Z_6991E7F6_52F1_4CF1_B55B_20191AA3BDCE_.wvu.FilterData" localSheetId="0" hidden="1">МАКЕТ!$A$11:$Y$237</definedName>
    <definedName name="Z_6E70D13A_57B6_4187_B913_3F5774FF5E2F_.wvu.FilterData" localSheetId="0" hidden="1">МАКЕТ!$A$11:$H$237</definedName>
    <definedName name="Z_73A7D5DE_276B_4FF4_A0DC_F5AD2801C540_.wvu.FilterData" localSheetId="0" hidden="1">МАКЕТ!$A$11:$H$237</definedName>
    <definedName name="Z_771EBB10_779D_4D5B_9C29_A893C8A4CF6E_.wvu.FilterData" localSheetId="0" hidden="1">МАКЕТ!$A$11:$Y$237</definedName>
    <definedName name="Z_797EEB9F_7EE1_45D4_9D25_2B5E1602B5D7_.wvu.FilterData" localSheetId="0" hidden="1">МАКЕТ!$H$1:$H$273</definedName>
    <definedName name="Z_7C4F482E_3D90_45CA_A335_50D0ABCF27F6_.wvu.FilterData" localSheetId="0" hidden="1">МАКЕТ!$A$11:$Y$237</definedName>
    <definedName name="Z_7D4CE6A4_E2C7_45FD_B236_9329042E4B97_.wvu.Cols" localSheetId="0" hidden="1">МАКЕТ!$G:$G</definedName>
    <definedName name="Z_7D4CE6A4_E2C7_45FD_B236_9329042E4B97_.wvu.FilterData" localSheetId="0" hidden="1">МАКЕТ!$A$11:$Y$237</definedName>
    <definedName name="Z_86140652_0A60_4899_80DB_7C50DDB02E51_.wvu.FilterData" localSheetId="0" hidden="1">МАКЕТ!$A$11:$Y$237</definedName>
    <definedName name="Z_88A1556A_C737_4768_AA9D_7CBF895312C6_.wvu.FilterData" localSheetId="0" hidden="1">МАКЕТ!$A$11:$Y$237</definedName>
    <definedName name="Z_88FE842E_59AF_4E2D_8AA2_0C19562148C2_.wvu.FilterData" localSheetId="0" hidden="1">МАКЕТ!$A$11:$Y$237</definedName>
    <definedName name="Z_8BB5D5A1_1497_46D5_A586_01B1702E09AA_.wvu.FilterData" localSheetId="0" hidden="1">МАКЕТ!$A$11:$Y$237</definedName>
    <definedName name="Z_8E4650D5_943A_43F1_A180_A9A9E9C5FC8B_.wvu.FilterData" localSheetId="0" hidden="1">МАКЕТ!$A$11:$H$237</definedName>
    <definedName name="Z_90805870_992A_436A_B72D_64679DBDDC5B_.wvu.FilterData" localSheetId="0" hidden="1">МАКЕТ!$A$11:$Y$237</definedName>
    <definedName name="Z_972E695A_E75D_4A8D_8E36_27F1F837E397_.wvu.Cols" localSheetId="0" hidden="1">МАКЕТ!$A:$D</definedName>
    <definedName name="Z_972E695A_E75D_4A8D_8E36_27F1F837E397_.wvu.FilterData" localSheetId="0" hidden="1">МАКЕТ!$H$1:$H$274</definedName>
    <definedName name="Z_980D7EF9_DB87_4956_A972_56A668CCFEF1_.wvu.FilterData" localSheetId="0" hidden="1">МАКЕТ!$H$1:$H$249</definedName>
    <definedName name="Z_999D6C59_A3AC_462C_9A44_5F65A54C384A_.wvu.FilterData" localSheetId="0" hidden="1">МАКЕТ!$A$11:$Y$237</definedName>
    <definedName name="Z_9ED15A25_7C5A_4698_A774_6CD66C720289_.wvu.FilterData" localSheetId="0" hidden="1">МАКЕТ!$I$7:$I$249</definedName>
    <definedName name="Z_A3C7D91E_2C00_4B4B_9D3E_B91AB5D270EB_.wvu.FilterData" localSheetId="0" hidden="1">МАКЕТ!$A$11:$H$237</definedName>
    <definedName name="Z_A8DD29A4_FB45_4C80_9295_481FCB8463D9_.wvu.FilterData" localSheetId="0" hidden="1">МАКЕТ!$I$7:$I$249</definedName>
    <definedName name="Z_A9BF8EBF_7B29_43EB_B538_29AB06435B82_.wvu.FilterData" localSheetId="0" hidden="1">МАКЕТ!$A$11:$Y$237</definedName>
    <definedName name="Z_AA64E913_941F_4E11_831B_986EA88A2BC7_.wvu.FilterData" localSheetId="0" hidden="1">МАКЕТ!$I$7:$I$249</definedName>
    <definedName name="Z_AD5B3925_B3B3_45E7_8EA7_CBF387274656_.wvu.FilterData" localSheetId="0" hidden="1">МАКЕТ!$A$11:$Y$237</definedName>
    <definedName name="Z_AE121295_361B_4278_89B6_6FE86DAE6FE2_.wvu.FilterData" localSheetId="0" hidden="1">МАКЕТ!$A$11:$H$237</definedName>
    <definedName name="Z_B5E11980_DC3D_4AE3_847F_54BB9514E328_.wvu.FilterData" localSheetId="0" hidden="1">МАКЕТ!$A$11:$Y$237</definedName>
    <definedName name="Z_B832B48D_F090_4A00_B91A_4CDEBBA511DF_.wvu.FilterData" localSheetId="0" hidden="1">МАКЕТ!$A$11:$Y$237</definedName>
    <definedName name="Z_BC25463D_3C6E_448A_B2A3_00C5F7E141FF_.wvu.FilterData" localSheetId="0" hidden="1">МАКЕТ!$I$7:$I$249</definedName>
    <definedName name="Z_C2B23ACF_FA2F_473A_97C5_8C8401FCD933_.wvu.FilterData" localSheetId="0" hidden="1">МАКЕТ!$A$11:$Y$237</definedName>
    <definedName name="Z_CCF96C06_F459_41F6_9225_43ED0C06A262_.wvu.FilterData" localSheetId="0" hidden="1">МАКЕТ!$A$11:$Y$237</definedName>
    <definedName name="Z_D5778F35_8CCF_4ACA_9757_FF72BAB52E5C_.wvu.FilterData" localSheetId="0" hidden="1">МАКЕТ!$A$11:$Y$237</definedName>
    <definedName name="Z_DA6DF509_1F34_4062_A49D_2C9DA69561E2_.wvu.FilterData" localSheetId="0" hidden="1">МАКЕТ!$A$11:$H$237</definedName>
    <definedName name="Z_E9016CDE_2DE5_4F16_B5A3_0A2484A2F56F_.wvu.FilterData" localSheetId="0" hidden="1">МАКЕТ!$A$11:$Y$237</definedName>
    <definedName name="Z_F188170A_DCF9_4F7F_A895_26FB1934F735_.wvu.FilterData" localSheetId="0" hidden="1">МАКЕТ!$H$1:$H$273</definedName>
    <definedName name="Z_F1FFAB44_4ADB_45F3_824A_027E9CF042D4_.wvu.FilterData" localSheetId="0" hidden="1">МАКЕТ!$H$1:$H$273</definedName>
    <definedName name="Z_F6244037_9613_426A_915C_79EB3D3E8A24_.wvu.FilterData" localSheetId="0" hidden="1">МАКЕТ!$A$11:$Y$237</definedName>
    <definedName name="Z_FD3A7A10_545D_46C9_822B_5F99FDEEDF70_.wvu.FilterData" localSheetId="0" hidden="1">МАКЕТ!$A$11:$Y$237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2" i="1" l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M240" i="1"/>
  <c r="I237" i="1"/>
  <c r="I236" i="1"/>
  <c r="I235" i="1" s="1"/>
  <c r="K233" i="1"/>
  <c r="J233" i="1"/>
  <c r="I233" i="1"/>
  <c r="E233" i="1"/>
  <c r="I232" i="1"/>
  <c r="E232" i="1"/>
  <c r="J231" i="1"/>
  <c r="I231" i="1"/>
  <c r="K231" i="1" s="1"/>
  <c r="E231" i="1"/>
  <c r="J230" i="1"/>
  <c r="I230" i="1"/>
  <c r="K230" i="1" s="1"/>
  <c r="E230" i="1"/>
  <c r="J229" i="1"/>
  <c r="I229" i="1"/>
  <c r="K229" i="1" s="1"/>
  <c r="E229" i="1"/>
  <c r="J228" i="1"/>
  <c r="I228" i="1"/>
  <c r="K228" i="1" s="1"/>
  <c r="E228" i="1"/>
  <c r="J227" i="1"/>
  <c r="I227" i="1"/>
  <c r="K227" i="1" s="1"/>
  <c r="E227" i="1"/>
  <c r="J226" i="1"/>
  <c r="I226" i="1"/>
  <c r="K226" i="1" s="1"/>
  <c r="E226" i="1"/>
  <c r="J225" i="1"/>
  <c r="I225" i="1"/>
  <c r="K225" i="1" s="1"/>
  <c r="E225" i="1"/>
  <c r="J224" i="1"/>
  <c r="I224" i="1"/>
  <c r="K224" i="1" s="1"/>
  <c r="E224" i="1"/>
  <c r="J223" i="1"/>
  <c r="I223" i="1"/>
  <c r="E223" i="1"/>
  <c r="O222" i="1"/>
  <c r="J222" i="1"/>
  <c r="I222" i="1"/>
  <c r="E222" i="1"/>
  <c r="J221" i="1"/>
  <c r="I221" i="1"/>
  <c r="E221" i="1"/>
  <c r="J220" i="1"/>
  <c r="I220" i="1"/>
  <c r="K220" i="1" s="1"/>
  <c r="E220" i="1"/>
  <c r="J219" i="1"/>
  <c r="I219" i="1"/>
  <c r="E219" i="1"/>
  <c r="J218" i="1"/>
  <c r="I218" i="1"/>
  <c r="E218" i="1"/>
  <c r="O217" i="1"/>
  <c r="J217" i="1"/>
  <c r="I217" i="1"/>
  <c r="K217" i="1" s="1"/>
  <c r="E217" i="1"/>
  <c r="J216" i="1"/>
  <c r="I216" i="1"/>
  <c r="K216" i="1" s="1"/>
  <c r="E216" i="1"/>
  <c r="J215" i="1"/>
  <c r="I215" i="1"/>
  <c r="K215" i="1" s="1"/>
  <c r="E215" i="1"/>
  <c r="J214" i="1"/>
  <c r="I214" i="1"/>
  <c r="K214" i="1" s="1"/>
  <c r="E214" i="1"/>
  <c r="J213" i="1"/>
  <c r="I213" i="1"/>
  <c r="K213" i="1" s="1"/>
  <c r="E213" i="1"/>
  <c r="J212" i="1"/>
  <c r="I212" i="1"/>
  <c r="K212" i="1" s="1"/>
  <c r="E212" i="1"/>
  <c r="J211" i="1"/>
  <c r="I211" i="1"/>
  <c r="K211" i="1" s="1"/>
  <c r="E211" i="1"/>
  <c r="J210" i="1"/>
  <c r="I210" i="1"/>
  <c r="K210" i="1" s="1"/>
  <c r="E210" i="1"/>
  <c r="J209" i="1"/>
  <c r="I209" i="1"/>
  <c r="K209" i="1" s="1"/>
  <c r="E209" i="1"/>
  <c r="J208" i="1"/>
  <c r="I208" i="1"/>
  <c r="K208" i="1" s="1"/>
  <c r="E208" i="1"/>
  <c r="J207" i="1"/>
  <c r="I207" i="1"/>
  <c r="K207" i="1" s="1"/>
  <c r="E207" i="1"/>
  <c r="J206" i="1"/>
  <c r="I206" i="1"/>
  <c r="K206" i="1" s="1"/>
  <c r="E206" i="1"/>
  <c r="J205" i="1"/>
  <c r="I205" i="1"/>
  <c r="K205" i="1" s="1"/>
  <c r="E205" i="1"/>
  <c r="J204" i="1"/>
  <c r="I204" i="1"/>
  <c r="K204" i="1" s="1"/>
  <c r="E204" i="1"/>
  <c r="J203" i="1"/>
  <c r="I203" i="1"/>
  <c r="K203" i="1" s="1"/>
  <c r="E203" i="1"/>
  <c r="J202" i="1"/>
  <c r="I202" i="1"/>
  <c r="K202" i="1" s="1"/>
  <c r="E202" i="1"/>
  <c r="J201" i="1"/>
  <c r="I201" i="1"/>
  <c r="K201" i="1" s="1"/>
  <c r="E201" i="1"/>
  <c r="J200" i="1"/>
  <c r="I200" i="1"/>
  <c r="K200" i="1" s="1"/>
  <c r="E200" i="1"/>
  <c r="J199" i="1"/>
  <c r="I199" i="1"/>
  <c r="K199" i="1" s="1"/>
  <c r="E199" i="1"/>
  <c r="J198" i="1"/>
  <c r="I198" i="1"/>
  <c r="K198" i="1" s="1"/>
  <c r="E198" i="1"/>
  <c r="J197" i="1"/>
  <c r="I197" i="1"/>
  <c r="K197" i="1" s="1"/>
  <c r="E197" i="1"/>
  <c r="J196" i="1"/>
  <c r="I196" i="1"/>
  <c r="K196" i="1" s="1"/>
  <c r="E196" i="1"/>
  <c r="J195" i="1"/>
  <c r="I195" i="1"/>
  <c r="K195" i="1" s="1"/>
  <c r="E195" i="1"/>
  <c r="J194" i="1"/>
  <c r="I194" i="1"/>
  <c r="K194" i="1" s="1"/>
  <c r="E194" i="1"/>
  <c r="J193" i="1"/>
  <c r="I193" i="1"/>
  <c r="K193" i="1" s="1"/>
  <c r="E193" i="1"/>
  <c r="J192" i="1"/>
  <c r="I192" i="1"/>
  <c r="K192" i="1" s="1"/>
  <c r="E192" i="1"/>
  <c r="J191" i="1"/>
  <c r="I191" i="1"/>
  <c r="K191" i="1" s="1"/>
  <c r="E191" i="1"/>
  <c r="J190" i="1"/>
  <c r="I190" i="1"/>
  <c r="K190" i="1" s="1"/>
  <c r="E190" i="1"/>
  <c r="J189" i="1"/>
  <c r="I189" i="1"/>
  <c r="K189" i="1" s="1"/>
  <c r="E189" i="1"/>
  <c r="J188" i="1"/>
  <c r="I188" i="1"/>
  <c r="K188" i="1" s="1"/>
  <c r="E188" i="1"/>
  <c r="J187" i="1"/>
  <c r="I187" i="1"/>
  <c r="K187" i="1" s="1"/>
  <c r="E187" i="1"/>
  <c r="J186" i="1"/>
  <c r="I186" i="1"/>
  <c r="K186" i="1" s="1"/>
  <c r="E186" i="1"/>
  <c r="J185" i="1"/>
  <c r="I185" i="1"/>
  <c r="K185" i="1" s="1"/>
  <c r="E185" i="1"/>
  <c r="J184" i="1"/>
  <c r="I184" i="1"/>
  <c r="K184" i="1" s="1"/>
  <c r="E184" i="1"/>
  <c r="J183" i="1"/>
  <c r="I183" i="1"/>
  <c r="K183" i="1" s="1"/>
  <c r="E183" i="1"/>
  <c r="J182" i="1"/>
  <c r="I182" i="1"/>
  <c r="K182" i="1" s="1"/>
  <c r="E182" i="1"/>
  <c r="J181" i="1"/>
  <c r="I181" i="1"/>
  <c r="K181" i="1" s="1"/>
  <c r="E181" i="1"/>
  <c r="J180" i="1"/>
  <c r="I180" i="1"/>
  <c r="K180" i="1" s="1"/>
  <c r="E180" i="1"/>
  <c r="J179" i="1"/>
  <c r="I179" i="1"/>
  <c r="K179" i="1" s="1"/>
  <c r="E179" i="1"/>
  <c r="J178" i="1"/>
  <c r="I178" i="1"/>
  <c r="K178" i="1" s="1"/>
  <c r="E178" i="1"/>
  <c r="J177" i="1"/>
  <c r="I177" i="1"/>
  <c r="K177" i="1" s="1"/>
  <c r="E177" i="1"/>
  <c r="J176" i="1"/>
  <c r="I176" i="1"/>
  <c r="K176" i="1" s="1"/>
  <c r="E176" i="1"/>
  <c r="J175" i="1"/>
  <c r="I175" i="1"/>
  <c r="K175" i="1" s="1"/>
  <c r="E175" i="1"/>
  <c r="J174" i="1"/>
  <c r="I174" i="1"/>
  <c r="K174" i="1" s="1"/>
  <c r="E174" i="1"/>
  <c r="J173" i="1"/>
  <c r="I173" i="1"/>
  <c r="K173" i="1" s="1"/>
  <c r="E173" i="1"/>
  <c r="J172" i="1"/>
  <c r="I172" i="1"/>
  <c r="K172" i="1" s="1"/>
  <c r="E172" i="1"/>
  <c r="J171" i="1"/>
  <c r="I171" i="1"/>
  <c r="K171" i="1" s="1"/>
  <c r="E171" i="1"/>
  <c r="J170" i="1"/>
  <c r="I170" i="1"/>
  <c r="K170" i="1" s="1"/>
  <c r="E170" i="1"/>
  <c r="J169" i="1"/>
  <c r="I169" i="1"/>
  <c r="K169" i="1" s="1"/>
  <c r="E169" i="1"/>
  <c r="J168" i="1"/>
  <c r="I168" i="1"/>
  <c r="K168" i="1" s="1"/>
  <c r="E168" i="1"/>
  <c r="J167" i="1"/>
  <c r="I167" i="1"/>
  <c r="K167" i="1" s="1"/>
  <c r="E167" i="1"/>
  <c r="J166" i="1"/>
  <c r="I166" i="1"/>
  <c r="K166" i="1" s="1"/>
  <c r="E166" i="1"/>
  <c r="J165" i="1"/>
  <c r="I165" i="1"/>
  <c r="K165" i="1" s="1"/>
  <c r="E165" i="1"/>
  <c r="J164" i="1"/>
  <c r="I164" i="1"/>
  <c r="K164" i="1" s="1"/>
  <c r="E164" i="1"/>
  <c r="J163" i="1"/>
  <c r="I163" i="1"/>
  <c r="K163" i="1" s="1"/>
  <c r="E163" i="1"/>
  <c r="J162" i="1"/>
  <c r="I162" i="1"/>
  <c r="K162" i="1" s="1"/>
  <c r="E162" i="1"/>
  <c r="J161" i="1"/>
  <c r="I161" i="1"/>
  <c r="K161" i="1" s="1"/>
  <c r="E161" i="1"/>
  <c r="J160" i="1"/>
  <c r="I160" i="1"/>
  <c r="K160" i="1" s="1"/>
  <c r="E160" i="1"/>
  <c r="J159" i="1"/>
  <c r="I159" i="1"/>
  <c r="K159" i="1" s="1"/>
  <c r="E159" i="1"/>
  <c r="J158" i="1"/>
  <c r="I158" i="1"/>
  <c r="K158" i="1" s="1"/>
  <c r="E158" i="1"/>
  <c r="J157" i="1"/>
  <c r="I157" i="1"/>
  <c r="K157" i="1" s="1"/>
  <c r="E157" i="1"/>
  <c r="J156" i="1"/>
  <c r="I156" i="1"/>
  <c r="K156" i="1" s="1"/>
  <c r="E156" i="1"/>
  <c r="J155" i="1"/>
  <c r="I155" i="1"/>
  <c r="K155" i="1" s="1"/>
  <c r="E155" i="1"/>
  <c r="J154" i="1"/>
  <c r="I154" i="1"/>
  <c r="K154" i="1" s="1"/>
  <c r="E154" i="1"/>
  <c r="J153" i="1"/>
  <c r="I153" i="1"/>
  <c r="K153" i="1" s="1"/>
  <c r="E153" i="1"/>
  <c r="J152" i="1"/>
  <c r="I152" i="1"/>
  <c r="K152" i="1" s="1"/>
  <c r="E152" i="1"/>
  <c r="J151" i="1"/>
  <c r="I151" i="1"/>
  <c r="K151" i="1" s="1"/>
  <c r="E151" i="1"/>
  <c r="J150" i="1"/>
  <c r="I150" i="1"/>
  <c r="K150" i="1" s="1"/>
  <c r="E150" i="1"/>
  <c r="J149" i="1"/>
  <c r="I149" i="1"/>
  <c r="K149" i="1" s="1"/>
  <c r="E149" i="1"/>
  <c r="J148" i="1"/>
  <c r="I148" i="1"/>
  <c r="K148" i="1" s="1"/>
  <c r="E148" i="1"/>
  <c r="J147" i="1"/>
  <c r="I147" i="1"/>
  <c r="K147" i="1" s="1"/>
  <c r="E147" i="1"/>
  <c r="J146" i="1"/>
  <c r="I146" i="1"/>
  <c r="K146" i="1" s="1"/>
  <c r="E146" i="1"/>
  <c r="J145" i="1"/>
  <c r="I145" i="1"/>
  <c r="K145" i="1" s="1"/>
  <c r="E145" i="1"/>
  <c r="J144" i="1"/>
  <c r="I144" i="1"/>
  <c r="K144" i="1" s="1"/>
  <c r="E144" i="1"/>
  <c r="J143" i="1"/>
  <c r="I143" i="1"/>
  <c r="K143" i="1" s="1"/>
  <c r="E143" i="1"/>
  <c r="J142" i="1"/>
  <c r="I142" i="1"/>
  <c r="K142" i="1" s="1"/>
  <c r="E142" i="1"/>
  <c r="J141" i="1"/>
  <c r="I141" i="1"/>
  <c r="K141" i="1" s="1"/>
  <c r="E141" i="1"/>
  <c r="J140" i="1"/>
  <c r="I140" i="1"/>
  <c r="K140" i="1" s="1"/>
  <c r="E140" i="1"/>
  <c r="J139" i="1"/>
  <c r="I139" i="1"/>
  <c r="K139" i="1" s="1"/>
  <c r="E139" i="1"/>
  <c r="J138" i="1"/>
  <c r="I138" i="1"/>
  <c r="K138" i="1" s="1"/>
  <c r="E138" i="1"/>
  <c r="J137" i="1"/>
  <c r="I137" i="1"/>
  <c r="K137" i="1" s="1"/>
  <c r="E137" i="1"/>
  <c r="J136" i="1"/>
  <c r="I136" i="1"/>
  <c r="K136" i="1" s="1"/>
  <c r="E136" i="1"/>
  <c r="J135" i="1"/>
  <c r="I135" i="1"/>
  <c r="K135" i="1" s="1"/>
  <c r="E135" i="1"/>
  <c r="K134" i="1"/>
  <c r="J134" i="1"/>
  <c r="I134" i="1"/>
  <c r="E134" i="1"/>
  <c r="K133" i="1"/>
  <c r="J133" i="1"/>
  <c r="I133" i="1"/>
  <c r="E133" i="1"/>
  <c r="K132" i="1"/>
  <c r="J132" i="1"/>
  <c r="I132" i="1"/>
  <c r="E132" i="1"/>
  <c r="K131" i="1"/>
  <c r="J131" i="1"/>
  <c r="I131" i="1"/>
  <c r="E131" i="1"/>
  <c r="K130" i="1"/>
  <c r="J130" i="1"/>
  <c r="I130" i="1"/>
  <c r="E130" i="1"/>
  <c r="K129" i="1"/>
  <c r="J129" i="1"/>
  <c r="I129" i="1"/>
  <c r="E129" i="1"/>
  <c r="K128" i="1"/>
  <c r="J128" i="1"/>
  <c r="I128" i="1"/>
  <c r="E128" i="1"/>
  <c r="K127" i="1"/>
  <c r="J127" i="1"/>
  <c r="I127" i="1"/>
  <c r="E127" i="1"/>
  <c r="K126" i="1"/>
  <c r="J126" i="1"/>
  <c r="I126" i="1"/>
  <c r="E126" i="1"/>
  <c r="K125" i="1"/>
  <c r="J125" i="1"/>
  <c r="I125" i="1"/>
  <c r="E125" i="1"/>
  <c r="K124" i="1"/>
  <c r="J124" i="1"/>
  <c r="I124" i="1"/>
  <c r="E124" i="1"/>
  <c r="K123" i="1"/>
  <c r="J123" i="1"/>
  <c r="I123" i="1"/>
  <c r="E123" i="1"/>
  <c r="K122" i="1"/>
  <c r="J122" i="1"/>
  <c r="I122" i="1"/>
  <c r="E122" i="1"/>
  <c r="K121" i="1"/>
  <c r="J121" i="1"/>
  <c r="I121" i="1"/>
  <c r="E121" i="1"/>
  <c r="K120" i="1"/>
  <c r="J120" i="1"/>
  <c r="I120" i="1"/>
  <c r="E120" i="1"/>
  <c r="K119" i="1"/>
  <c r="J119" i="1"/>
  <c r="I119" i="1"/>
  <c r="E119" i="1"/>
  <c r="K118" i="1"/>
  <c r="J118" i="1"/>
  <c r="I118" i="1"/>
  <c r="E118" i="1"/>
  <c r="K117" i="1"/>
  <c r="J117" i="1"/>
  <c r="I117" i="1"/>
  <c r="E117" i="1"/>
  <c r="K116" i="1"/>
  <c r="J116" i="1"/>
  <c r="I116" i="1"/>
  <c r="E116" i="1"/>
  <c r="K115" i="1"/>
  <c r="J115" i="1"/>
  <c r="I115" i="1"/>
  <c r="E115" i="1"/>
  <c r="K114" i="1"/>
  <c r="J114" i="1"/>
  <c r="I114" i="1"/>
  <c r="E114" i="1"/>
  <c r="K113" i="1"/>
  <c r="J113" i="1"/>
  <c r="I113" i="1"/>
  <c r="E113" i="1"/>
  <c r="K112" i="1"/>
  <c r="J112" i="1"/>
  <c r="I112" i="1"/>
  <c r="E112" i="1"/>
  <c r="K111" i="1"/>
  <c r="J111" i="1"/>
  <c r="I111" i="1"/>
  <c r="E111" i="1"/>
  <c r="K110" i="1"/>
  <c r="J110" i="1"/>
  <c r="I110" i="1"/>
  <c r="E110" i="1"/>
  <c r="K109" i="1"/>
  <c r="J109" i="1"/>
  <c r="I109" i="1"/>
  <c r="E109" i="1"/>
  <c r="K108" i="1"/>
  <c r="J108" i="1"/>
  <c r="I108" i="1"/>
  <c r="E108" i="1"/>
  <c r="K107" i="1"/>
  <c r="J107" i="1"/>
  <c r="I107" i="1"/>
  <c r="E107" i="1"/>
  <c r="K106" i="1"/>
  <c r="J106" i="1"/>
  <c r="I106" i="1"/>
  <c r="E106" i="1"/>
  <c r="K105" i="1"/>
  <c r="J105" i="1"/>
  <c r="I105" i="1"/>
  <c r="E105" i="1"/>
  <c r="K104" i="1"/>
  <c r="J104" i="1"/>
  <c r="I104" i="1"/>
  <c r="E104" i="1"/>
  <c r="K103" i="1"/>
  <c r="J103" i="1"/>
  <c r="I103" i="1"/>
  <c r="E103" i="1"/>
  <c r="K102" i="1"/>
  <c r="J102" i="1"/>
  <c r="I102" i="1"/>
  <c r="E102" i="1"/>
  <c r="K101" i="1"/>
  <c r="J101" i="1"/>
  <c r="I101" i="1"/>
  <c r="E101" i="1"/>
  <c r="K100" i="1"/>
  <c r="J100" i="1"/>
  <c r="I100" i="1"/>
  <c r="E100" i="1"/>
  <c r="K99" i="1"/>
  <c r="J99" i="1"/>
  <c r="I99" i="1"/>
  <c r="E99" i="1"/>
  <c r="K98" i="1"/>
  <c r="J98" i="1"/>
  <c r="I98" i="1"/>
  <c r="E98" i="1"/>
  <c r="K97" i="1"/>
  <c r="J97" i="1"/>
  <c r="I97" i="1"/>
  <c r="E97" i="1"/>
  <c r="K96" i="1"/>
  <c r="J96" i="1"/>
  <c r="I96" i="1"/>
  <c r="E96" i="1"/>
  <c r="K95" i="1"/>
  <c r="J95" i="1"/>
  <c r="I95" i="1"/>
  <c r="E95" i="1"/>
  <c r="K94" i="1"/>
  <c r="J94" i="1"/>
  <c r="I94" i="1"/>
  <c r="E94" i="1"/>
  <c r="K93" i="1"/>
  <c r="J93" i="1"/>
  <c r="I93" i="1"/>
  <c r="E93" i="1"/>
  <c r="K92" i="1"/>
  <c r="J92" i="1"/>
  <c r="I92" i="1"/>
  <c r="E92" i="1"/>
  <c r="K91" i="1"/>
  <c r="J91" i="1"/>
  <c r="I91" i="1"/>
  <c r="E91" i="1"/>
  <c r="K90" i="1"/>
  <c r="J90" i="1"/>
  <c r="I90" i="1"/>
  <c r="E90" i="1"/>
  <c r="K89" i="1"/>
  <c r="J89" i="1"/>
  <c r="I89" i="1"/>
  <c r="E89" i="1"/>
  <c r="K88" i="1"/>
  <c r="J88" i="1"/>
  <c r="I88" i="1"/>
  <c r="E88" i="1"/>
  <c r="K87" i="1"/>
  <c r="J87" i="1"/>
  <c r="I87" i="1"/>
  <c r="E87" i="1"/>
  <c r="K86" i="1"/>
  <c r="J86" i="1"/>
  <c r="I86" i="1"/>
  <c r="E86" i="1"/>
  <c r="K85" i="1"/>
  <c r="J85" i="1"/>
  <c r="I85" i="1"/>
  <c r="E85" i="1"/>
  <c r="K84" i="1"/>
  <c r="J84" i="1"/>
  <c r="I84" i="1"/>
  <c r="E84" i="1"/>
  <c r="K83" i="1"/>
  <c r="J83" i="1"/>
  <c r="I83" i="1"/>
  <c r="E83" i="1"/>
  <c r="K82" i="1"/>
  <c r="J82" i="1"/>
  <c r="I82" i="1"/>
  <c r="E82" i="1"/>
  <c r="K81" i="1"/>
  <c r="J81" i="1"/>
  <c r="I81" i="1"/>
  <c r="E81" i="1"/>
  <c r="K80" i="1"/>
  <c r="J80" i="1"/>
  <c r="I80" i="1"/>
  <c r="E80" i="1"/>
  <c r="K79" i="1"/>
  <c r="J79" i="1"/>
  <c r="I79" i="1"/>
  <c r="E79" i="1"/>
  <c r="K78" i="1"/>
  <c r="J78" i="1"/>
  <c r="I78" i="1"/>
  <c r="E78" i="1"/>
  <c r="K77" i="1"/>
  <c r="J77" i="1"/>
  <c r="I77" i="1"/>
  <c r="E77" i="1"/>
  <c r="K76" i="1"/>
  <c r="J76" i="1"/>
  <c r="I76" i="1"/>
  <c r="E76" i="1"/>
  <c r="K75" i="1"/>
  <c r="J75" i="1"/>
  <c r="I75" i="1"/>
  <c r="E75" i="1"/>
  <c r="K74" i="1"/>
  <c r="J74" i="1"/>
  <c r="I74" i="1"/>
  <c r="E74" i="1"/>
  <c r="K73" i="1"/>
  <c r="J73" i="1"/>
  <c r="I73" i="1"/>
  <c r="E73" i="1"/>
  <c r="K72" i="1"/>
  <c r="J72" i="1"/>
  <c r="I72" i="1"/>
  <c r="E72" i="1"/>
  <c r="K71" i="1"/>
  <c r="J71" i="1"/>
  <c r="I71" i="1"/>
  <c r="E71" i="1"/>
  <c r="K70" i="1"/>
  <c r="J70" i="1"/>
  <c r="I70" i="1"/>
  <c r="E70" i="1"/>
  <c r="K69" i="1"/>
  <c r="J69" i="1"/>
  <c r="I69" i="1"/>
  <c r="E69" i="1"/>
  <c r="K68" i="1"/>
  <c r="J68" i="1"/>
  <c r="I68" i="1"/>
  <c r="E68" i="1"/>
  <c r="K67" i="1"/>
  <c r="J67" i="1"/>
  <c r="I67" i="1"/>
  <c r="E67" i="1"/>
  <c r="K66" i="1"/>
  <c r="J66" i="1"/>
  <c r="I66" i="1"/>
  <c r="E66" i="1"/>
  <c r="K65" i="1"/>
  <c r="J65" i="1"/>
  <c r="I65" i="1"/>
  <c r="E65" i="1"/>
  <c r="K64" i="1"/>
  <c r="J64" i="1"/>
  <c r="I64" i="1"/>
  <c r="E64" i="1"/>
  <c r="K63" i="1"/>
  <c r="J63" i="1"/>
  <c r="I63" i="1"/>
  <c r="E63" i="1"/>
  <c r="K62" i="1"/>
  <c r="J62" i="1"/>
  <c r="I62" i="1"/>
  <c r="E62" i="1"/>
  <c r="K61" i="1"/>
  <c r="J61" i="1"/>
  <c r="I61" i="1"/>
  <c r="E61" i="1"/>
  <c r="K60" i="1"/>
  <c r="J60" i="1"/>
  <c r="I60" i="1"/>
  <c r="E60" i="1"/>
  <c r="K59" i="1"/>
  <c r="J59" i="1"/>
  <c r="I59" i="1"/>
  <c r="E59" i="1"/>
  <c r="K58" i="1"/>
  <c r="J58" i="1"/>
  <c r="I58" i="1"/>
  <c r="E58" i="1"/>
  <c r="K57" i="1"/>
  <c r="J57" i="1"/>
  <c r="I57" i="1"/>
  <c r="E57" i="1"/>
  <c r="K56" i="1"/>
  <c r="J56" i="1"/>
  <c r="I56" i="1"/>
  <c r="E56" i="1"/>
  <c r="K55" i="1"/>
  <c r="J55" i="1"/>
  <c r="I55" i="1"/>
  <c r="E55" i="1"/>
  <c r="K54" i="1"/>
  <c r="J54" i="1"/>
  <c r="I54" i="1"/>
  <c r="E54" i="1"/>
  <c r="K53" i="1"/>
  <c r="J53" i="1"/>
  <c r="I53" i="1"/>
  <c r="E53" i="1"/>
  <c r="K52" i="1"/>
  <c r="J52" i="1"/>
  <c r="I52" i="1"/>
  <c r="E52" i="1"/>
  <c r="K51" i="1"/>
  <c r="J51" i="1"/>
  <c r="I51" i="1"/>
  <c r="E51" i="1"/>
  <c r="J50" i="1"/>
  <c r="I50" i="1"/>
  <c r="E50" i="1"/>
  <c r="J49" i="1"/>
  <c r="I49" i="1"/>
  <c r="K49" i="1" s="1"/>
  <c r="E49" i="1"/>
  <c r="J48" i="1"/>
  <c r="I48" i="1"/>
  <c r="E48" i="1"/>
  <c r="J47" i="1"/>
  <c r="I47" i="1"/>
  <c r="K47" i="1" s="1"/>
  <c r="E47" i="1"/>
  <c r="J46" i="1"/>
  <c r="I46" i="1"/>
  <c r="E46" i="1"/>
  <c r="J45" i="1"/>
  <c r="I45" i="1"/>
  <c r="K45" i="1" s="1"/>
  <c r="E45" i="1"/>
  <c r="J44" i="1"/>
  <c r="I44" i="1"/>
  <c r="E44" i="1"/>
  <c r="J43" i="1"/>
  <c r="I43" i="1"/>
  <c r="K43" i="1" s="1"/>
  <c r="E43" i="1"/>
  <c r="J42" i="1"/>
  <c r="I42" i="1"/>
  <c r="E42" i="1"/>
  <c r="J41" i="1"/>
  <c r="I41" i="1"/>
  <c r="K41" i="1" s="1"/>
  <c r="E41" i="1"/>
  <c r="J40" i="1"/>
  <c r="I40" i="1"/>
  <c r="E40" i="1"/>
  <c r="J39" i="1"/>
  <c r="I39" i="1"/>
  <c r="K39" i="1" s="1"/>
  <c r="E39" i="1"/>
  <c r="J38" i="1"/>
  <c r="I38" i="1"/>
  <c r="E38" i="1"/>
  <c r="J37" i="1"/>
  <c r="I37" i="1"/>
  <c r="K37" i="1" s="1"/>
  <c r="E37" i="1"/>
  <c r="J36" i="1"/>
  <c r="I36" i="1"/>
  <c r="E36" i="1"/>
  <c r="J35" i="1"/>
  <c r="I35" i="1"/>
  <c r="K35" i="1" s="1"/>
  <c r="E35" i="1"/>
  <c r="J34" i="1"/>
  <c r="I34" i="1"/>
  <c r="E34" i="1"/>
  <c r="J33" i="1"/>
  <c r="I33" i="1"/>
  <c r="K33" i="1" s="1"/>
  <c r="E33" i="1"/>
  <c r="J32" i="1"/>
  <c r="I32" i="1"/>
  <c r="E32" i="1"/>
  <c r="J31" i="1"/>
  <c r="I31" i="1"/>
  <c r="K31" i="1" s="1"/>
  <c r="E31" i="1"/>
  <c r="J30" i="1"/>
  <c r="I30" i="1"/>
  <c r="E30" i="1"/>
  <c r="J29" i="1"/>
  <c r="I29" i="1"/>
  <c r="K29" i="1" s="1"/>
  <c r="E29" i="1"/>
  <c r="J28" i="1"/>
  <c r="I28" i="1"/>
  <c r="E28" i="1"/>
  <c r="J27" i="1"/>
  <c r="I27" i="1"/>
  <c r="K27" i="1" s="1"/>
  <c r="E27" i="1"/>
  <c r="J26" i="1"/>
  <c r="I26" i="1"/>
  <c r="E26" i="1"/>
  <c r="J25" i="1"/>
  <c r="I25" i="1"/>
  <c r="K25" i="1" s="1"/>
  <c r="E25" i="1"/>
  <c r="J24" i="1"/>
  <c r="I24" i="1"/>
  <c r="E24" i="1"/>
  <c r="J23" i="1"/>
  <c r="I23" i="1"/>
  <c r="K23" i="1" s="1"/>
  <c r="E23" i="1"/>
  <c r="J22" i="1"/>
  <c r="I22" i="1"/>
  <c r="E22" i="1"/>
  <c r="J21" i="1"/>
  <c r="I21" i="1"/>
  <c r="K21" i="1" s="1"/>
  <c r="E21" i="1"/>
  <c r="J20" i="1"/>
  <c r="I20" i="1"/>
  <c r="E20" i="1"/>
  <c r="J19" i="1"/>
  <c r="I19" i="1"/>
  <c r="K19" i="1" s="1"/>
  <c r="E19" i="1"/>
  <c r="J18" i="1"/>
  <c r="I18" i="1"/>
  <c r="E18" i="1"/>
  <c r="J17" i="1"/>
  <c r="I17" i="1"/>
  <c r="K17" i="1" s="1"/>
  <c r="E17" i="1"/>
  <c r="J16" i="1"/>
  <c r="I16" i="1"/>
  <c r="E16" i="1"/>
  <c r="J15" i="1"/>
  <c r="I15" i="1"/>
  <c r="K15" i="1" s="1"/>
  <c r="E15" i="1"/>
  <c r="J14" i="1"/>
  <c r="I14" i="1"/>
  <c r="E14" i="1"/>
  <c r="J13" i="1"/>
  <c r="I13" i="1"/>
  <c r="K13" i="1" s="1"/>
  <c r="E13" i="1"/>
  <c r="J12" i="1"/>
  <c r="I12" i="1"/>
  <c r="E12" i="1"/>
  <c r="O236" i="1" l="1"/>
  <c r="K219" i="1"/>
  <c r="K14" i="1"/>
  <c r="K18" i="1"/>
  <c r="K22" i="1"/>
  <c r="K26" i="1"/>
  <c r="K30" i="1"/>
  <c r="K34" i="1"/>
  <c r="K38" i="1"/>
  <c r="K42" i="1"/>
  <c r="K46" i="1"/>
  <c r="K50" i="1"/>
  <c r="K218" i="1"/>
  <c r="K222" i="1"/>
  <c r="K221" i="1"/>
  <c r="K223" i="1"/>
  <c r="K12" i="1"/>
  <c r="K16" i="1"/>
  <c r="K20" i="1"/>
  <c r="K24" i="1"/>
  <c r="K28" i="1"/>
  <c r="K32" i="1"/>
  <c r="K36" i="1"/>
  <c r="K40" i="1"/>
  <c r="K44" i="1"/>
  <c r="K48" i="1"/>
  <c r="M222" i="1"/>
  <c r="Q222" i="1" s="1"/>
  <c r="M217" i="1"/>
  <c r="M233" i="1"/>
  <c r="Q217" i="1" l="1"/>
  <c r="M236" i="1"/>
  <c r="O237" i="1"/>
  <c r="O239" i="1" s="1"/>
  <c r="M238" i="1" l="1"/>
  <c r="I234" i="1"/>
  <c r="M241" i="1"/>
  <c r="Q236" i="1"/>
</calcChain>
</file>

<file path=xl/sharedStrings.xml><?xml version="1.0" encoding="utf-8"?>
<sst xmlns="http://schemas.openxmlformats.org/spreadsheetml/2006/main" count="1397" uniqueCount="1230">
  <si>
    <t>Распределение энергоресурсов по виду:</t>
  </si>
  <si>
    <t>электроэнергия продажа</t>
  </si>
  <si>
    <t>за июнь 2026</t>
  </si>
  <si>
    <t>(наименование услуги)</t>
  </si>
  <si>
    <t>(дата)</t>
  </si>
  <si>
    <t>ЭЛ.ПОЧТА</t>
  </si>
  <si>
    <t>телефон</t>
  </si>
  <si>
    <t>контактное лицо</t>
  </si>
  <si>
    <t>№ п/п</t>
  </si>
  <si>
    <t>Договор</t>
  </si>
  <si>
    <t>ИНН</t>
  </si>
  <si>
    <t>Контрагент</t>
  </si>
  <si>
    <t>Потребление ЭЭ, МВтч</t>
  </si>
  <si>
    <t>Стоимость ЭЭ,          руб./МВтч</t>
  </si>
  <si>
    <t>руб. с НДС</t>
  </si>
  <si>
    <t>с авансами</t>
  </si>
  <si>
    <t>rch@electrotherm.ru</t>
  </si>
  <si>
    <t>8(926)586-10-31; 8(812)309-71-27 доб. 116</t>
  </si>
  <si>
    <t>Чуйко Роман Станиславович</t>
  </si>
  <si>
    <t>92100-542ЭА от 01.08.2021</t>
  </si>
  <si>
    <t>7838493420</t>
  </si>
  <si>
    <t>АЛЬФАКОМ ООО</t>
  </si>
  <si>
    <t>п</t>
  </si>
  <si>
    <t>zhenyahor@mail.ru</t>
  </si>
  <si>
    <t>8-951-684-3185; 8-911-701-71-31</t>
  </si>
  <si>
    <t>Евгений Александрович директор</t>
  </si>
  <si>
    <t>92100-294Э от 01.02.2017</t>
  </si>
  <si>
    <t>7805643007</t>
  </si>
  <si>
    <t>АДАМ ООО</t>
  </si>
  <si>
    <t>akomplius@bk.ru</t>
  </si>
  <si>
    <t>962-702-58-50</t>
  </si>
  <si>
    <t>92100-387Э от 01.01.2018</t>
  </si>
  <si>
    <t>7805720090</t>
  </si>
  <si>
    <t>АКОМ + ООО</t>
  </si>
  <si>
    <t>ipsmebelion@yandex.ru</t>
  </si>
  <si>
    <t>8-921-375-35-45</t>
  </si>
  <si>
    <t>Вячеслав Степанович</t>
  </si>
  <si>
    <t>92100-674ЭА от 01.04.2024</t>
  </si>
  <si>
    <t>ВашДиВАН ООО</t>
  </si>
  <si>
    <t>VOcheretyany@alfabank.ru</t>
  </si>
  <si>
    <t>8-921-778-20-97</t>
  </si>
  <si>
    <t xml:space="preserve">комендант Очеретяный Виктор </t>
  </si>
  <si>
    <t>92100-166Э от 01.03.2015</t>
  </si>
  <si>
    <t>7728168971</t>
  </si>
  <si>
    <t>АЛЬФА-БАНК АО</t>
  </si>
  <si>
    <t>elena.k@rugidro.com; korniloww@rambler.ru</t>
  </si>
  <si>
    <t>8-905-235-24-44</t>
  </si>
  <si>
    <t>Корнилова Елена Леонидовна</t>
  </si>
  <si>
    <t>92100-369Э от 01.10.2017</t>
  </si>
  <si>
    <t>7805045896</t>
  </si>
  <si>
    <t>АЛЬФАГИДРАВЛИКА ООО</t>
  </si>
  <si>
    <t>y.sapunkov@krupa-national.ru</t>
  </si>
  <si>
    <t>8-921-403-26-43</t>
  </si>
  <si>
    <t>92100-053Э от 01.01.2009г.</t>
  </si>
  <si>
    <t>7816108153</t>
  </si>
  <si>
    <t xml:space="preserve">АНГСТРЕМ </t>
  </si>
  <si>
    <t>Juriy.Borisov@sptz.kzgroup.ru; Stecuk@sptz.kzgroup.ru; Dmitriy.Stripuhovskiy@sptz.kzgroup.ru</t>
  </si>
  <si>
    <t>92100-319ЭС от 01.06.2024</t>
  </si>
  <si>
    <t>7805059867</t>
  </si>
  <si>
    <t>АО Петербургский тракторный завод</t>
  </si>
  <si>
    <t>dsch50@mail.ru</t>
  </si>
  <si>
    <t>8-911-212-68-40</t>
  </si>
  <si>
    <t>92100-092Э от 01.01.2009г.</t>
  </si>
  <si>
    <t>7805451231</t>
  </si>
  <si>
    <t>АПРИ ООО</t>
  </si>
  <si>
    <t>storage.spb@a-priory.ru</t>
  </si>
  <si>
    <t>8-921-337-64-73</t>
  </si>
  <si>
    <t>92100-524Э от 01.09.2020</t>
  </si>
  <si>
    <t>9721068026</t>
  </si>
  <si>
    <t>А-ПРИОРИ ООО</t>
  </si>
  <si>
    <t>dk@astrinmet.ru</t>
  </si>
  <si>
    <t>8-911-037-37-06</t>
  </si>
  <si>
    <t>Наталия Сергеевна Норина бух.</t>
  </si>
  <si>
    <t>92100-421Э от 16.07.2018</t>
  </si>
  <si>
    <t>7813248321</t>
  </si>
  <si>
    <t>АСТРИНМЕТ ООО</t>
  </si>
  <si>
    <t>bmiz-gladilin@yandex.ru</t>
  </si>
  <si>
    <t>942-86-14, 329-02-54</t>
  </si>
  <si>
    <t>Гладилин Юрий Леонидович</t>
  </si>
  <si>
    <t>92100-327Э от 01.04.2017</t>
  </si>
  <si>
    <t>7805438872</t>
  </si>
  <si>
    <t>БАЛТ.МИП ООО</t>
  </si>
  <si>
    <t xml:space="preserve">tatyana.N.lobas@bspb.ru; </t>
  </si>
  <si>
    <t>988123295050, 988123295082</t>
  </si>
  <si>
    <t>92100-145Э от 01.12.2013</t>
  </si>
  <si>
    <t>7831000027</t>
  </si>
  <si>
    <t>ПАО Банк "Санкт-Петербург"</t>
  </si>
  <si>
    <t>bks1607@yandex.ru;  bogvera@yandex.ru</t>
  </si>
  <si>
    <t>8-921-429-13-85</t>
  </si>
  <si>
    <t>Сергей Белынский</t>
  </si>
  <si>
    <t>92100-657ЭА от 01.10.2023</t>
  </si>
  <si>
    <t>Белынский С.В.</t>
  </si>
  <si>
    <t>alex-stepanov86@mail.ru; bcsheremetev47@mail.ru</t>
  </si>
  <si>
    <t>8-911-826-90-82</t>
  </si>
  <si>
    <t>Александр Степанов</t>
  </si>
  <si>
    <t>92100-100Э от 01.05.2009г</t>
  </si>
  <si>
    <t>7805442068</t>
  </si>
  <si>
    <t>БИЗНЕС ЦЕНТР ШЕРЕМЕТЕВ ООО</t>
  </si>
  <si>
    <t>Bmk.trubogib@mail.ru</t>
  </si>
  <si>
    <t>331-08-40; 331 39 70</t>
  </si>
  <si>
    <t>92100-033Э от 01.01.2009г.</t>
  </si>
  <si>
    <t>7805176673</t>
  </si>
  <si>
    <t>БМК</t>
  </si>
  <si>
    <t>shop7@svmspb.ru; svm@svmspb.ru</t>
  </si>
  <si>
    <t>8-911-285-35-98</t>
  </si>
  <si>
    <t>92100-419Э от 01.06.2018</t>
  </si>
  <si>
    <t>781135852869</t>
  </si>
  <si>
    <t>Бруданин Владимир Валериевич</t>
  </si>
  <si>
    <t>vektormex@mail.ru</t>
  </si>
  <si>
    <t>928-82-02</t>
  </si>
  <si>
    <t>Сергей Александрович</t>
  </si>
  <si>
    <t>92100-306Э от 01.02.2017</t>
  </si>
  <si>
    <t>7804569463</t>
  </si>
  <si>
    <t>ВЕКТОРМЕХ ООО</t>
  </si>
  <si>
    <t>info@west-ter.com</t>
  </si>
  <si>
    <t xml:space="preserve">8-921-963-95-23 </t>
  </si>
  <si>
    <t>92100-549ЭА от 01.03.2021</t>
  </si>
  <si>
    <t>7805774867</t>
  </si>
  <si>
    <t>ВЕСТЕР ООО</t>
  </si>
  <si>
    <t>s.zhuravlev@visotec.ru; ez@evroznak.spb.ru</t>
  </si>
  <si>
    <t>8-981-973-04-20</t>
  </si>
  <si>
    <t>Журавлев Сергей</t>
  </si>
  <si>
    <t>92100-108Э от 01.01.2009г.</t>
  </si>
  <si>
    <t>7805665201</t>
  </si>
  <si>
    <t>ВИЗОТЕК РУС ООО</t>
  </si>
  <si>
    <t>vma1999@mail.ru; baltlog@rambler.ru</t>
  </si>
  <si>
    <t>921-960-31-24</t>
  </si>
  <si>
    <t>Максим Аркадьевич</t>
  </si>
  <si>
    <t>92100-393Э от 29.01.2018</t>
  </si>
  <si>
    <t>781708945876</t>
  </si>
  <si>
    <t>Возный Максим Аркадьевич</t>
  </si>
  <si>
    <t>kp@meteck.ru; info@meteck.ru</t>
  </si>
  <si>
    <t>8-921-588-33-09</t>
  </si>
  <si>
    <t>Овчинников Николай Александрович</t>
  </si>
  <si>
    <t>92100-594ЭА от 01.03.2022</t>
  </si>
  <si>
    <t>7801402258</t>
  </si>
  <si>
    <t>МЕТЕК-ИНЖИНИРИНГ</t>
  </si>
  <si>
    <t>elizaveta.lisina@gdr-s.ru</t>
  </si>
  <si>
    <t>8-968-194-28-03</t>
  </si>
  <si>
    <t>Лисина Елизавета</t>
  </si>
  <si>
    <t>92100-543Э от 01.02.2021</t>
  </si>
  <si>
    <t>7805772450</t>
  </si>
  <si>
    <t>ГИДРАВЛИКСЕРВИС ООО</t>
  </si>
  <si>
    <t>kistanovda@glassburg.com; info@glassburg.com</t>
  </si>
  <si>
    <t>директор Антон Валерьевич все решает</t>
  </si>
  <si>
    <t>92100-255Э от 22.09.2016</t>
  </si>
  <si>
    <t>7805312140</t>
  </si>
  <si>
    <t>ГЛАССБУРГ ООО</t>
  </si>
  <si>
    <t>aleksandr.shirokov@ilimgroup.ru</t>
  </si>
  <si>
    <t>8-921-940-88-78</t>
  </si>
  <si>
    <t>Александр Широков</t>
  </si>
  <si>
    <t>92100-203Э от 01.12.2015</t>
  </si>
  <si>
    <t>7840346335</t>
  </si>
  <si>
    <t>Группа "Илим"</t>
  </si>
  <si>
    <t>89110948101@mail.ru</t>
  </si>
  <si>
    <t>8-911-094-81-01</t>
  </si>
  <si>
    <t>Екатерина Мешалкова</t>
  </si>
  <si>
    <t>92100-416Э от 01.05.2018</t>
  </si>
  <si>
    <t>7841485187</t>
  </si>
  <si>
    <t>ГСК ЭКС ООО</t>
  </si>
  <si>
    <t>chvg@diateh.ru; office@diateh.ru</t>
  </si>
  <si>
    <t>719-68-68</t>
  </si>
  <si>
    <t>92100-449Э от 26.12.2018</t>
  </si>
  <si>
    <t>7825503030</t>
  </si>
  <si>
    <t>ДИАЛОГ-ТЕХНИКА ООО</t>
  </si>
  <si>
    <t>dizelinstr@mail.ru; a_lebedeva84@mail.ru</t>
  </si>
  <si>
    <t>962-680-15-05</t>
  </si>
  <si>
    <t>92100-448Э от 01.01.2019</t>
  </si>
  <si>
    <t>7842124465</t>
  </si>
  <si>
    <t>ДИЗЕЛЬ-ИНСТРУМЕНТ СПБ ООО</t>
  </si>
  <si>
    <t>donata938@yandex.ru</t>
  </si>
  <si>
    <t>8-921-885-43-59</t>
  </si>
  <si>
    <t>92100-339Э от 08.07.2017</t>
  </si>
  <si>
    <t>780709242916</t>
  </si>
  <si>
    <t>Дмитриенко</t>
  </si>
  <si>
    <t>dop0-metal@yandex.ru; baltstar@inbox.ru</t>
  </si>
  <si>
    <t>92100-253Э от 08.09.2016</t>
  </si>
  <si>
    <t>4703137366</t>
  </si>
  <si>
    <t>ДОПУСК-0 ООО</t>
  </si>
  <si>
    <t>evrovik2020@yandex.ru</t>
  </si>
  <si>
    <t>326-55-95</t>
  </si>
  <si>
    <t>92100-356Э от 01.08.2017</t>
  </si>
  <si>
    <t>7816647557</t>
  </si>
  <si>
    <t>ЕВРОВИК МАШСЕРВИС ООО</t>
  </si>
  <si>
    <t>3307573@gmail.com; olga_a2008@mail.ru</t>
  </si>
  <si>
    <t>7-965-057-78-00 Артур</t>
  </si>
  <si>
    <t>92100-535Э от 11.11.2020</t>
  </si>
  <si>
    <t>783900324772</t>
  </si>
  <si>
    <t>Оникс ООО</t>
  </si>
  <si>
    <t>brygin.sv@k-energomash.ru</t>
  </si>
  <si>
    <t>+7 (911)984-96-29</t>
  </si>
  <si>
    <t>92100-010Э/3-803-189-09-103 от 01.01.2009</t>
  </si>
  <si>
    <t>7805060301</t>
  </si>
  <si>
    <t>ЗАВОД КИРОВ-ЭНЕРГОМАШ АО</t>
  </si>
  <si>
    <t xml:space="preserve"> i_zavyalov@inbox.ru; timofeev_dim@inbox.ru</t>
  </si>
  <si>
    <t>8-962-700-14-65; 89110952014 по показаниям</t>
  </si>
  <si>
    <t>Завьялов Дмитрий Алексеевич</t>
  </si>
  <si>
    <t>92100-478Э от 01.11.2019</t>
  </si>
  <si>
    <t>7816583800</t>
  </si>
  <si>
    <t>ЗАВЬЯЛОВ ООО</t>
  </si>
  <si>
    <t>vasiyzoviylov@inbox.ru</t>
  </si>
  <si>
    <t>8-921-940-66-51</t>
  </si>
  <si>
    <t>92100-562ЭА от 01.04.2021</t>
  </si>
  <si>
    <t>591304618360</t>
  </si>
  <si>
    <t>Завьялова Светлана Николаевна</t>
  </si>
  <si>
    <t>ecomarin2014@gmail.com; info@ivolga.in</t>
  </si>
  <si>
    <t>8-921-184-90-80</t>
  </si>
  <si>
    <t>92100-139Э от 01.10.2013г.</t>
  </si>
  <si>
    <t>7805468411</t>
  </si>
  <si>
    <t>ИВОЛГА ООО</t>
  </si>
  <si>
    <t>info@imaengin.ru</t>
  </si>
  <si>
    <t>8-911-956-34-71</t>
  </si>
  <si>
    <t>Григорьева Марина</t>
  </si>
  <si>
    <t>92100-404Э от 01.04.2018</t>
  </si>
  <si>
    <t>7810445314</t>
  </si>
  <si>
    <t>ИМА ИНЖИНИРИНГ ООО</t>
  </si>
  <si>
    <t>vitaliy_nedyak@mail.ru;  investstanok@ya.ru; investstanok1@ya.ru</t>
  </si>
  <si>
    <t xml:space="preserve">8-495-105-93-70 +79119461301
+79697098192
</t>
  </si>
  <si>
    <t>Виталий Н.</t>
  </si>
  <si>
    <t>92100-336Э от 01.05.2017</t>
  </si>
  <si>
    <t>5047120398</t>
  </si>
  <si>
    <t>ИНВЕСТ-СТАНКО ООО</t>
  </si>
  <si>
    <t>kalan-spb@yandex.ru</t>
  </si>
  <si>
    <t>8-905-212-17-53</t>
  </si>
  <si>
    <t>Мишура Дмитрий Евгеньевич</t>
  </si>
  <si>
    <t>92100-192 Э от 01.08.2015</t>
  </si>
  <si>
    <t>7805512004</t>
  </si>
  <si>
    <t>КАЛАН ООО</t>
  </si>
  <si>
    <t xml:space="preserve"> Aleksandr.Sokolov@kzgroup.ru; tgn@kzgroup.ru; Alexandr.Serov@kzgroup.ru; Yakov.Levchenko@kzgroup.ru</t>
  </si>
  <si>
    <t xml:space="preserve"> 92100-052Э от 01.01.2010</t>
  </si>
  <si>
    <t>КИРОВСКИЙ ЗАВОД ПАО</t>
  </si>
  <si>
    <t>92100-188Э от 01.05.2015 (арендные)</t>
  </si>
  <si>
    <t>7805019279</t>
  </si>
  <si>
    <t>office@kirovtek.kzgroup.ru</t>
  </si>
  <si>
    <t>92100-008Э от 01.07.2008г.</t>
  </si>
  <si>
    <t>7805060502</t>
  </si>
  <si>
    <t>КИРОВТЭК АО</t>
  </si>
  <si>
    <t>92100-317ЭС от 01.01.2024</t>
  </si>
  <si>
    <t xml:space="preserve">spb.konli@mail.ru; </t>
  </si>
  <si>
    <t>960-238-68-76</t>
  </si>
  <si>
    <t>92100-297Э от 01.02.2017</t>
  </si>
  <si>
    <t>7810658785</t>
  </si>
  <si>
    <t>КонЛи ООО</t>
  </si>
  <si>
    <t>container.spb@yandex.ru; container.spb@bk.ru</t>
  </si>
  <si>
    <r>
      <t xml:space="preserve">8-911-250-41-68; </t>
    </r>
    <r>
      <rPr>
        <b/>
        <sz val="8"/>
        <rFont val="Arial"/>
        <family val="2"/>
        <charset val="204"/>
      </rPr>
      <t>8-911-125-71-53</t>
    </r>
  </si>
  <si>
    <t>Директор Леонид Игоревич</t>
  </si>
  <si>
    <t>92100-433Э от 10.10.2018</t>
  </si>
  <si>
    <t>7805691723</t>
  </si>
  <si>
    <t>КОНТЕЙНЕР-СПБ ООО</t>
  </si>
  <si>
    <t>Tzech-gm@kontinental.ru; 313@kontinental.ru</t>
  </si>
  <si>
    <t>989215514545</t>
  </si>
  <si>
    <t>92100-408Э от 01.03.2018</t>
  </si>
  <si>
    <t>6609002301</t>
  </si>
  <si>
    <t>КОНТИНЕНТАЛЬ ООО</t>
  </si>
  <si>
    <t xml:space="preserve">snab@dveriloft.ru </t>
  </si>
  <si>
    <r>
      <rPr>
        <b/>
        <sz val="8"/>
        <rFont val="Arial"/>
        <family val="2"/>
        <charset val="204"/>
      </rPr>
      <t>900-622-18-18</t>
    </r>
    <r>
      <rPr>
        <sz val="8"/>
        <rFont val="Arial"/>
        <family val="2"/>
        <charset val="204"/>
      </rPr>
      <t>; 8-981-964-86-13</t>
    </r>
  </si>
  <si>
    <t>Екатерина Карпова</t>
  </si>
  <si>
    <t>92100-537Э от 04.12.2020</t>
  </si>
  <si>
    <t>780625838597</t>
  </si>
  <si>
    <t>Копосов Иван Владимирович</t>
  </si>
  <si>
    <r>
      <t xml:space="preserve">egmarev@mail.ru; </t>
    </r>
    <r>
      <rPr>
        <sz val="8"/>
        <color rgb="FF00B050"/>
        <rFont val="Arial"/>
        <family val="2"/>
        <charset val="204"/>
      </rPr>
      <t>barabanovaleksey@list.ru</t>
    </r>
    <r>
      <rPr>
        <sz val="8"/>
        <rFont val="Arial"/>
        <family val="2"/>
        <charset val="204"/>
      </rPr>
      <t>; 9304723@mail.ru; 4263777@mail.ru</t>
    </r>
  </si>
  <si>
    <t>Алексей Барабанов</t>
  </si>
  <si>
    <t>92100-462Э от 20.02.2019</t>
  </si>
  <si>
    <t>7816653529</t>
  </si>
  <si>
    <t>КРИСТАЛЛ ООО</t>
  </si>
  <si>
    <t>110560@mail.ru; sales@ksanf.spb.ru</t>
  </si>
  <si>
    <t>334-11-33</t>
  </si>
  <si>
    <t>Лузаков Сергей Кузьмич</t>
  </si>
  <si>
    <t>92100-436Э от 01.10.2018</t>
  </si>
  <si>
    <t>7813115875</t>
  </si>
  <si>
    <t>КСАНФ ООО</t>
  </si>
  <si>
    <t xml:space="preserve">matveeva@k-sm.ru; irina@k-sm.ru;  inbox@k-sm.ru </t>
  </si>
  <si>
    <t>8(812)7020104, 89219464682</t>
  </si>
  <si>
    <t>92100-225Э от 04.03.2016</t>
  </si>
  <si>
    <t>7805320630</t>
  </si>
  <si>
    <t>КСМ СПБ ООО</t>
  </si>
  <si>
    <t>mail@jettechnologies.ru; sergey.lukianov@jettechnologies.ru</t>
  </si>
  <si>
    <t>989817141725; 988126002436, 989217449544, 989118184787</t>
  </si>
  <si>
    <t>92100-148Э от 01.04.2014</t>
  </si>
  <si>
    <t>7805716752</t>
  </si>
  <si>
    <t>КСТ ООО</t>
  </si>
  <si>
    <t>lazerproff@gmail.com</t>
  </si>
  <si>
    <t>8-953-343-85-98</t>
  </si>
  <si>
    <t>Александр Щекотуров</t>
  </si>
  <si>
    <t>92100-481Э от 22.07.2019</t>
  </si>
  <si>
    <t>7810735655</t>
  </si>
  <si>
    <t>ЛАЗЕР ПРОФ ООО</t>
  </si>
  <si>
    <t>2427666@mail.ru</t>
  </si>
  <si>
    <t>8-911-242-76-66</t>
  </si>
  <si>
    <t>Филатов Дмитрий Александрович</t>
  </si>
  <si>
    <t>92100-515Э от 01.06.2020</t>
  </si>
  <si>
    <t>7839097444</t>
  </si>
  <si>
    <t>ЛИДЕР ООО (515Э)</t>
  </si>
  <si>
    <t xml:space="preserve">Roman.Petrov@lokomotiv.kzgroup.ru; Andrey.Aksenov@lokomotiv.kzgroup.ru </t>
  </si>
  <si>
    <t>92100-021Э от 01.01.2009</t>
  </si>
  <si>
    <t>7805227529</t>
  </si>
  <si>
    <t>ЛОКОМОТИВ АО</t>
  </si>
  <si>
    <t>lotospiter@bk.ru; B222@yandex.ru</t>
  </si>
  <si>
    <t>8-960-255-51-26</t>
  </si>
  <si>
    <t>сам звонит</t>
  </si>
  <si>
    <t>92100-289Э от 01.04.2017</t>
  </si>
  <si>
    <t>7805237005</t>
  </si>
  <si>
    <t>ЛОТОС ООО</t>
  </si>
  <si>
    <t>9448628@mail.ru</t>
  </si>
  <si>
    <t>8-921-944-86-28</t>
  </si>
  <si>
    <t>92100-432Э от 01.09.2018</t>
  </si>
  <si>
    <t>7805730926</t>
  </si>
  <si>
    <t>МЕБЕЛЬ СЕРВИС ООО</t>
  </si>
  <si>
    <r>
      <rPr>
        <sz val="8"/>
        <color rgb="FFFF0000"/>
        <rFont val="Arial"/>
        <family val="2"/>
        <charset val="204"/>
      </rPr>
      <t xml:space="preserve">makarovvv@petrostal.spb.ru ; </t>
    </r>
    <r>
      <rPr>
        <sz val="8"/>
        <rFont val="Arial"/>
        <family val="2"/>
        <charset val="204"/>
      </rPr>
      <t xml:space="preserve">feofanova@petrostal.spb.ru; alekseevn@petrostal.spb.ru ; pushkarevdv@petrostal.spb.ru ; dispetchsluzhb@petrostal.spb.ru </t>
    </r>
  </si>
  <si>
    <t>92100-014Э от 01.01.2009г</t>
  </si>
  <si>
    <t>7805059786</t>
  </si>
  <si>
    <t>Металлургический завод "Петросталь" АО</t>
  </si>
  <si>
    <t>mrm_530@mail.ru </t>
  </si>
  <si>
    <t>6476507, 8-921-945-80-04</t>
  </si>
  <si>
    <t>92100-050Э от 01.01.2009г.</t>
  </si>
  <si>
    <t>7805669823</t>
  </si>
  <si>
    <t>МЕТАЛЛУРГРЕМОНТМОНТАЖ ООО</t>
  </si>
  <si>
    <t>info@metrostr.ru; tatyana.solodovnikova@metrostr.ru</t>
  </si>
  <si>
    <t>8-921-330-15-21</t>
  </si>
  <si>
    <t>92100-583ЭА от 29.10.2021</t>
  </si>
  <si>
    <t>7810904590</t>
  </si>
  <si>
    <t>МЕТРОСТРОЙ СЕВЕРНОЙ СТОЛИЦЫ АО</t>
  </si>
  <si>
    <t>n.u.art@yandex.ru</t>
  </si>
  <si>
    <t>8-981-974-47-54</t>
  </si>
  <si>
    <t>Щипарева Елена Борисовна</t>
  </si>
  <si>
    <t xml:space="preserve">92100-638ЭА от 01.05.2023 г </t>
  </si>
  <si>
    <t>7807261807</t>
  </si>
  <si>
    <t>ООО "ИНЖЕНЕРНЫЕ ТЕХНОЛОГИИ
 (бывший МЕХАНИКА ООО)</t>
  </si>
  <si>
    <t>d.dernov@mcs-spb.com; info@mcs-spb.com; e.petrov@mcs-spb.com; v.yaguthin@mcs-spb.com</t>
  </si>
  <si>
    <t>8-952-215-24-65, 8-981-910-57-02, 8-960-062-32-08</t>
  </si>
  <si>
    <t>Дмитрию Васильевичу Дернову.</t>
  </si>
  <si>
    <t>92100-553Э от 01.02.2021</t>
  </si>
  <si>
    <t>7801304758</t>
  </si>
  <si>
    <t>МКС ООО</t>
  </si>
  <si>
    <t>988127033156; 984959116552, 988127039367, 989506235552, 989110189943</t>
  </si>
  <si>
    <t>92100-056Э от 01.01.2009</t>
  </si>
  <si>
    <t>МОБИЛЬНЫЕ ТЕЛЕСИСТЕМЫ ПАО</t>
  </si>
  <si>
    <t>basremont@gmail.com</t>
  </si>
  <si>
    <t>8-911-814-13-26</t>
  </si>
  <si>
    <t>Баскакова Марина Павловна</t>
  </si>
  <si>
    <t>92100-672ЭА от 01.03.2024</t>
  </si>
  <si>
    <t xml:space="preserve"> МОТОР-РАСТОЧКА СПб ООО</t>
  </si>
  <si>
    <t>info@ompspb.ru; Energy478@ya.ru; enprofd@gmail.com; info@nevaenergoatom.ru; sii@nea-spb.ru</t>
  </si>
  <si>
    <t>988123026007, 989219928010</t>
  </si>
  <si>
    <t>92100-425Э от 01.08.2018</t>
  </si>
  <si>
    <t>7805726214</t>
  </si>
  <si>
    <t>НЕВАЭНЕРГОАТОМ ООО</t>
  </si>
  <si>
    <t>egor5m@yandex.ru; 101@ornamita.ru; baltlog1976@gmail.com; 110@ornamita.ru</t>
  </si>
  <si>
    <t>89219449049; 921-640-52-02</t>
  </si>
  <si>
    <t>92100-195Э от 02.09.2015</t>
  </si>
  <si>
    <t>7839021438</t>
  </si>
  <si>
    <t>НЕВСКИЙ  ПРОКАТНЫЙ  ЗАВОД ООО</t>
  </si>
  <si>
    <t>vladimir.moiseenko@nordweg.ru; safety@nordweg.ru</t>
  </si>
  <si>
    <t>8-921-937-05-29; +7 931 968 74 65</t>
  </si>
  <si>
    <t xml:space="preserve">Владимир Моисеенко/ Селиванов Сергей Анатольевич </t>
  </si>
  <si>
    <t>92100-119Э от 01.01.2009</t>
  </si>
  <si>
    <t>НОРДВЕГ  ЗАО</t>
  </si>
  <si>
    <t>Собственник</t>
  </si>
  <si>
    <t>metaholding@mail.ru</t>
  </si>
  <si>
    <t>92100-446Э от 01.11.2018</t>
  </si>
  <si>
    <t>7805273596</t>
  </si>
  <si>
    <t>НОРД-МЕТАЛЛ ООО</t>
  </si>
  <si>
    <t>sergey.agafonov@petrostal.spb.ru; Aleksandr.Remizov@petrostal.kzgroup.ru; Aleksandr.CHiglintsev@lsss.kzgroup.ru</t>
  </si>
  <si>
    <t>92100-428Э от 01.10.2018</t>
  </si>
  <si>
    <t>7805702968</t>
  </si>
  <si>
    <t>НПО ЛАБОРАТОРИЯ СПЕЦИАЛЬНЫХ СТАЛЕЙ И СПЛАВОВ ООО</t>
  </si>
  <si>
    <t>rukit@obedov.ru; info@obedov.ru</t>
  </si>
  <si>
    <t>8-965-090-44-18</t>
  </si>
  <si>
    <t>Мутусов Антон</t>
  </si>
  <si>
    <t>92100-319Э от 31.03.2017</t>
  </si>
  <si>
    <t>4707018200</t>
  </si>
  <si>
    <t>ОБЕДОВ ООО</t>
  </si>
  <si>
    <t>pavlowa@mail.ru</t>
  </si>
  <si>
    <t>92100-528Э от 01.10.2020</t>
  </si>
  <si>
    <t>780700278876</t>
  </si>
  <si>
    <t>Павлова Галина Михайловна</t>
  </si>
  <si>
    <t>Иван Максимов &lt;maksimovparsek@gmail.com&gt;; info@parsek-spb.ru</t>
  </si>
  <si>
    <t>8-911-743-02-57, 457-02-57 доб. 242</t>
  </si>
  <si>
    <t>Яхонтов Александр Иванович</t>
  </si>
  <si>
    <t>92100-024Э от 01.01.2009</t>
  </si>
  <si>
    <t>7809010090</t>
  </si>
  <si>
    <t>Фирма Парсек ООО</t>
  </si>
  <si>
    <t>pisanov@mail.ru</t>
  </si>
  <si>
    <t>989313216261</t>
  </si>
  <si>
    <t>92100-088Э от 17.05.2011</t>
  </si>
  <si>
    <t>780500480852</t>
  </si>
  <si>
    <t>Писанов Владислав Викторович</t>
  </si>
  <si>
    <t xml:space="preserve">vadimtodua.pmk@yandex.ru; ivanov_pmk@inbox.ru; info@spbmk.ru </t>
  </si>
  <si>
    <t>8-952-232-32-49</t>
  </si>
  <si>
    <t>Вадим</t>
  </si>
  <si>
    <t>92100-461Э от 22.01.2019</t>
  </si>
  <si>
    <t>7805348153</t>
  </si>
  <si>
    <t>ПМК ООО</t>
  </si>
  <si>
    <r>
      <rPr>
        <sz val="8"/>
        <color rgb="FFFF0000"/>
        <rFont val="Arial"/>
        <family val="2"/>
        <charset val="204"/>
      </rPr>
      <t>info@polimervolokno.ru</t>
    </r>
    <r>
      <rPr>
        <sz val="8"/>
        <rFont val="Arial"/>
        <family val="2"/>
        <charset val="204"/>
      </rPr>
      <t>;region1@polimervolokno.ru;</t>
    </r>
  </si>
  <si>
    <t>921-772-24-98; 8-905-273-36-07</t>
  </si>
  <si>
    <t>03121991@mail.ru — бухгалтерия</t>
  </si>
  <si>
    <t>92100-532Э от 28.10.2020</t>
  </si>
  <si>
    <t>7805362045</t>
  </si>
  <si>
    <t>ПОЛИМЕРВОЛОКНО ООО</t>
  </si>
  <si>
    <t>main@polimer-tech.ru; anna@polimer-tech.ru</t>
  </si>
  <si>
    <t>8-981-749-54-88</t>
  </si>
  <si>
    <t>92100-362Э от 01.10.2017</t>
  </si>
  <si>
    <t>7805496627</t>
  </si>
  <si>
    <t>Полимер-Тех ООО</t>
  </si>
  <si>
    <t>pontos.spb@gmail.com</t>
  </si>
  <si>
    <t>89119246858; 8-950-010-77-19</t>
  </si>
  <si>
    <t>92100-438Э от 01.10.2018</t>
  </si>
  <si>
    <t>7805729092</t>
  </si>
  <si>
    <t>ПОНТОС ООО</t>
  </si>
  <si>
    <t xml:space="preserve">andrbuzin@yandex.ru; </t>
  </si>
  <si>
    <t xml:space="preserve">989119599316; 89697277717 </t>
  </si>
  <si>
    <t>92100-520Э от 03.08.2020</t>
  </si>
  <si>
    <t>7801643180</t>
  </si>
  <si>
    <t>ПОРТАЛ ООО</t>
  </si>
  <si>
    <t xml:space="preserve">off-promet4@yandex.ru; info@prommmetall.ru </t>
  </si>
  <si>
    <t>92100-299Э от 01.02.2017</t>
  </si>
  <si>
    <t>7816225273</t>
  </si>
  <si>
    <t>ПРОММ МЕТАЛЛ ООО</t>
  </si>
  <si>
    <t>prommash-lit@mail.ru; prommash-spb@mail.ru</t>
  </si>
  <si>
    <t>92100-133Э от 10.06.2013г</t>
  </si>
  <si>
    <t>7839009092</t>
  </si>
  <si>
    <t>Проммаш-Сервис ООО</t>
  </si>
  <si>
    <t>andnef82@gmail.com; devyatovnu@mail.ru; kav@promresurs-spb.com; vorobiev@promresurs-spb.com</t>
  </si>
  <si>
    <t>8-931-961-3789</t>
  </si>
  <si>
    <t>Андрей Нефедов</t>
  </si>
  <si>
    <t>92100-149Э от 01.04.2014</t>
  </si>
  <si>
    <t>7804524543</t>
  </si>
  <si>
    <t>ПРОМРЕСУРС</t>
  </si>
  <si>
    <t>tarkhova.ptm@mail.ru; PTM-Piter@mail.ru</t>
  </si>
  <si>
    <t>92100-492Э от 01.11.2019</t>
  </si>
  <si>
    <t>7814522062</t>
  </si>
  <si>
    <t>ПТМ ООО</t>
  </si>
  <si>
    <t>reliz-met@peterlink.ru</t>
  </si>
  <si>
    <t>92100-415Э от 01.05.2018</t>
  </si>
  <si>
    <t>7805126810</t>
  </si>
  <si>
    <t>РЕЛИЗ ООО ПКФ</t>
  </si>
  <si>
    <t>rmk.spb26@yandex.ru; elena.s1405@yandex.ru</t>
  </si>
  <si>
    <t>Екатерина Лукинская</t>
  </si>
  <si>
    <t>АСКУЭ</t>
  </si>
  <si>
    <t>92100-090Э от 01.01.2009</t>
  </si>
  <si>
    <t>7840054004</t>
  </si>
  <si>
    <t>РМК ООО</t>
  </si>
  <si>
    <t>info@rosinvest-spb.ru</t>
  </si>
  <si>
    <t>92100-208Э  от 01.01.2016</t>
  </si>
  <si>
    <t>7805581142</t>
  </si>
  <si>
    <t>Конструктив-СПб</t>
  </si>
  <si>
    <t>info@sequoia-spb.ru; n@sirant.ru</t>
  </si>
  <si>
    <t>92100-412Э от 01.05.2018</t>
  </si>
  <si>
    <t>7806539055</t>
  </si>
  <si>
    <t>РСФ СЕКВОЙЯ ООО</t>
  </si>
  <si>
    <t>office@gostara.ru</t>
  </si>
  <si>
    <r>
      <t>7 (812) 748-24-09</t>
    </r>
    <r>
      <rPr>
        <sz val="9"/>
        <color rgb="FF666666"/>
        <rFont val="Arial"/>
        <family val="2"/>
        <charset val="204"/>
      </rPr>
      <t> </t>
    </r>
  </si>
  <si>
    <t>Иван Кузнецов</t>
  </si>
  <si>
    <t>92100-227Э от 09.03.2016</t>
  </si>
  <si>
    <t>7802874944</t>
  </si>
  <si>
    <t>САНКТ-ПЕТЕРБУРГСКАЯ ФАБРИКА ГОСТАРА ООО</t>
  </si>
  <si>
    <r>
      <t xml:space="preserve"> info@smcspb.ru; </t>
    </r>
    <r>
      <rPr>
        <sz val="8"/>
        <color rgb="FF00B050"/>
        <rFont val="Arial"/>
        <family val="2"/>
        <charset val="204"/>
      </rPr>
      <t>Vihrov.a@smcspb.ru; Smirnov.s@smcspb.ru</t>
    </r>
  </si>
  <si>
    <t>8-921-977-98-07</t>
  </si>
  <si>
    <t>Анна Андреевна Владычанская</t>
  </si>
  <si>
    <t>92100-154Э от 15.05.2014г.</t>
  </si>
  <si>
    <t>7827008320</t>
  </si>
  <si>
    <t xml:space="preserve"> МЗ Северный Металлоцентр ООО</t>
  </si>
  <si>
    <t>alexander.yurov@Megafon.ru; Irina.yunevich@megafon.ru; epg@megafon.ru; arenda-SZF@Megafon.ru; andery.bachurin@megafon.ru</t>
  </si>
  <si>
    <t>8-921-399-19-94; 984997552155</t>
  </si>
  <si>
    <t>92100-147Э от 01.03.2014</t>
  </si>
  <si>
    <t>7812014560</t>
  </si>
  <si>
    <t>Северо-Западный филиал ПАО "МегаФон"</t>
  </si>
  <si>
    <t>aesolgan@yahoo.com</t>
  </si>
  <si>
    <t>347-78-09</t>
  </si>
  <si>
    <t>92100-083Э от 01.01.2009г.</t>
  </si>
  <si>
    <t>7806124660</t>
  </si>
  <si>
    <t>СИТИ ГЛАСС</t>
  </si>
  <si>
    <t>skstroytrans@yandex.ru</t>
  </si>
  <si>
    <t>8-921-630-40-62 Сергей Викторович; 8-963324-33-22 Максим</t>
  </si>
  <si>
    <t>92100-443Э от 01.11.2018</t>
  </si>
  <si>
    <t>7839015096</t>
  </si>
  <si>
    <t>СК СТРОЙТРАНС ООО</t>
  </si>
  <si>
    <t>vsa_1958@mail.ru; info@skbk.ru</t>
  </si>
  <si>
    <t xml:space="preserve">гл.инженер пр-ва Верхоглядов Сергей Андреевич 8-921-095-18-68; </t>
  </si>
  <si>
    <t>92100-442Э от 01.01.2019</t>
  </si>
  <si>
    <t>7801064369</t>
  </si>
  <si>
    <t>СКБК АО</t>
  </si>
  <si>
    <t>bva@skmz.ru</t>
  </si>
  <si>
    <t>8-921-931-72-05</t>
  </si>
  <si>
    <t>92100-172Э от 01.10.2014г.</t>
  </si>
  <si>
    <t>7805481518</t>
  </si>
  <si>
    <t>СКМЗ</t>
  </si>
  <si>
    <t>sdaniltsev@sogaz-clinic.ru</t>
  </si>
  <si>
    <t>8-981-977-56-39</t>
  </si>
  <si>
    <t>Данильцев Сергей Алексеевич</t>
  </si>
  <si>
    <t>92100-217Э от 01.06.2016</t>
  </si>
  <si>
    <t>7816483740</t>
  </si>
  <si>
    <t>ММЦ ПРОФМЕДИЦИНА ООО</t>
  </si>
  <si>
    <t>i_talian66@mail.ru; Sta47@mail.ru; nv7171@mail.ru</t>
  </si>
  <si>
    <t>92100-168Э от 01.04.2015</t>
  </si>
  <si>
    <t>ООО ОЛДА</t>
  </si>
  <si>
    <t>b.i.sklad@ya.ru; souzblank@bk.ru; blanksborka@bk.ru</t>
  </si>
  <si>
    <t>8-952-217-79-52</t>
  </si>
  <si>
    <t>Андрей</t>
  </si>
  <si>
    <t>92100-629ЭА от 01.01.2023</t>
  </si>
  <si>
    <t>КБИ ООО</t>
  </si>
  <si>
    <t>9102388@mail.ru; spectrumspb@inbox.ru</t>
  </si>
  <si>
    <t>910-23-88; 8-921-910-23-88</t>
  </si>
  <si>
    <t>92100-681ЭА от 01.09.2024</t>
  </si>
  <si>
    <t>ПК Спектрум ООО</t>
  </si>
  <si>
    <t>loferdyuk_au@specmash-kb.com; specmash@specmash-kb.com</t>
  </si>
  <si>
    <t>loferdyuk_au@specmash-kb.com (главный инженер АО "Спецмаш")
specmash@specmash-kb.com (общая почта, секретарь)
320-08-23 (доб.338); 8-965-780-11-30</t>
  </si>
  <si>
    <t>Миникеев Марат</t>
  </si>
  <si>
    <t>92100-027Э от 01.01.2009г.</t>
  </si>
  <si>
    <t>7805019624</t>
  </si>
  <si>
    <t>СПЕЦМАШ АО</t>
  </si>
  <si>
    <t>samplestone.fabrication@gmail.com; 89215742884@mail.ru</t>
  </si>
  <si>
    <t>8-931-256-77-25</t>
  </si>
  <si>
    <t>92100-318Э от 01.02.2017</t>
  </si>
  <si>
    <t>7805625801</t>
  </si>
  <si>
    <t>СЭМПЛ СТОУН ООО</t>
  </si>
  <si>
    <t>toiler-spb@mail.ru</t>
  </si>
  <si>
    <t>331-65-80; 8-921-341-26-28; 8-921-631-46-30</t>
  </si>
  <si>
    <t>Анатолий Плотников</t>
  </si>
  <si>
    <t>92100-303Э от 01.02.2017</t>
  </si>
  <si>
    <t>7805502091</t>
  </si>
  <si>
    <t>Тайлер ООО</t>
  </si>
  <si>
    <t xml:space="preserve">6220627@mail.ru; </t>
  </si>
  <si>
    <t>448-45-01</t>
  </si>
  <si>
    <t>92100-395Э от 15.01.2018</t>
  </si>
  <si>
    <t>7810034258</t>
  </si>
  <si>
    <t>ТД ПРОЛЕТАРСКИЙ ТРУД ООО</t>
  </si>
  <si>
    <t>termale@rambler.ru</t>
  </si>
  <si>
    <t>716-39-01</t>
  </si>
  <si>
    <t>92100-017Э от 01.04.2009г.</t>
  </si>
  <si>
    <t>7805425457</t>
  </si>
  <si>
    <t>ТЕРМАЛЬ</t>
  </si>
  <si>
    <t>andnef82@gmail.com ; pevchev@termoresurs.com ; chvokov_a@termoresurs.com ; antonov@termoresurs.com ; epifanov@termoresurs.com</t>
  </si>
  <si>
    <t>92100-355Э от 01.08.2017</t>
  </si>
  <si>
    <t>7813248561</t>
  </si>
  <si>
    <t>Терморесурс</t>
  </si>
  <si>
    <t>teneks@yandex.ru</t>
  </si>
  <si>
    <t>8-911-114-05-06</t>
  </si>
  <si>
    <t>Виктор</t>
  </si>
  <si>
    <t>92100-566ЭА от 01.06.2021</t>
  </si>
  <si>
    <t>7806136440</t>
  </si>
  <si>
    <t>ТЕХМАРКЕТ ООО</t>
  </si>
  <si>
    <t>technomash@mail.ru</t>
  </si>
  <si>
    <t>703-16-82</t>
  </si>
  <si>
    <t>92100-363Э от 01.10.2017</t>
  </si>
  <si>
    <t>7825096345</t>
  </si>
  <si>
    <t>Техномаш ООО</t>
  </si>
  <si>
    <t>9404355@mail.ru</t>
  </si>
  <si>
    <t>8-921-940-43-55</t>
  </si>
  <si>
    <t>Александр Атанов</t>
  </si>
  <si>
    <t>92100-493Э от 19.11.2019</t>
  </si>
  <si>
    <t>7805729744</t>
  </si>
  <si>
    <t>ТИХОГРУПП ООО</t>
  </si>
  <si>
    <t>siriusline@yandex.ru</t>
  </si>
  <si>
    <t>8-921-320-31-25 - Михаил Викторович</t>
  </si>
  <si>
    <t>92100-414Э от 01.04.2018</t>
  </si>
  <si>
    <t>7805588067</t>
  </si>
  <si>
    <t>ТК СИРИУС ООО</t>
  </si>
  <si>
    <t>Belovgleb2011@gmail.com</t>
  </si>
  <si>
    <t xml:space="preserve">8-921-969-99-23 </t>
  </si>
  <si>
    <t>глег</t>
  </si>
  <si>
    <t>92100-341Э от 01.06.2017</t>
  </si>
  <si>
    <t>780728268074</t>
  </si>
  <si>
    <t>Устинов Дмитрий Игоревич</t>
  </si>
  <si>
    <t>E.Kostyleva@SPB.ROSMORPORT.RU; mail@rosmorport.ru;  I.Bessmertniy@SPB.ROSMORPORT.ru</t>
  </si>
  <si>
    <t>8-921-950-22-34; 984956261420, 988129501395</t>
  </si>
  <si>
    <t>92100-198 Э от 10.12.2015</t>
  </si>
  <si>
    <t>7702352454</t>
  </si>
  <si>
    <t>ФГУП "Росморпорт"</t>
  </si>
  <si>
    <t>fshm.buh@gmail.com; vladislav.ljahovetski@gmail.com</t>
  </si>
  <si>
    <t>8-981-824-75-50</t>
  </si>
  <si>
    <t>92100-312Э от 01.04.2017</t>
  </si>
  <si>
    <t>7810803520</t>
  </si>
  <si>
    <t>ФИННШЛИФМЕТ ООО</t>
  </si>
  <si>
    <t>irina@formpro.spb.ru; formpro@formpro.spb.ru; sivanova@formpro.spb.ru</t>
  </si>
  <si>
    <t>989218899937, 645-36-20</t>
  </si>
  <si>
    <t>92100-106Э от 16.06.2011</t>
  </si>
  <si>
    <t>7802305472</t>
  </si>
  <si>
    <t>ФОРМУЛА  ПРОСТРАНСТВА</t>
  </si>
  <si>
    <t>Yuri.s@forcel.ru; info@forsel.ru</t>
  </si>
  <si>
    <t>8-911-209-96-88</t>
  </si>
  <si>
    <t xml:space="preserve">ШАШКОВ ЮРИЙ ИВАНОВИЧ </t>
  </si>
  <si>
    <t>92100-479Э от 15.07.2019</t>
  </si>
  <si>
    <t>7805671847</t>
  </si>
  <si>
    <t>ФОРСЕЛ ООО</t>
  </si>
  <si>
    <t>a_fuks@hotmail.com</t>
  </si>
  <si>
    <t>8-921-956-56-98 (Анастасия)</t>
  </si>
  <si>
    <t>92100-476Э от 01.07.2019</t>
  </si>
  <si>
    <t>781610279010</t>
  </si>
  <si>
    <t>Фукс Анастасия Ильинична</t>
  </si>
  <si>
    <t>info@hardwest.ru</t>
  </si>
  <si>
    <t>8-967-592-59-90</t>
  </si>
  <si>
    <t>89119541234 Валерий Павлович тех дир. по показаниям</t>
  </si>
  <si>
    <t>92100-332Э от 10.05.2017</t>
  </si>
  <si>
    <t>7814175147</t>
  </si>
  <si>
    <t>ХАРДВЕСТ ООО</t>
  </si>
  <si>
    <t>fin@expomarket.spb.ru; mail@expomarket.spb.ru; v.krivomazov@expomarket.spb.ru</t>
  </si>
  <si>
    <t>921-750-94-41</t>
  </si>
  <si>
    <t>92100-047Э от 01.01.2009</t>
  </si>
  <si>
    <t>7805059271</t>
  </si>
  <si>
    <t>ЭКСПОМАРКЕТ ОАО</t>
  </si>
  <si>
    <t>Ershova.olg@yandex.ru; riva110978@mail.ru</t>
  </si>
  <si>
    <t>8-921-387-64-26; 988123310854, 988129400884</t>
  </si>
  <si>
    <t>92100-101Э от 01.01.2009</t>
  </si>
  <si>
    <t>7805116314</t>
  </si>
  <si>
    <t>ЭЛОР</t>
  </si>
  <si>
    <t xml:space="preserve">d_filatov@emotorserv.com; </t>
  </si>
  <si>
    <t>700-18-94; 401-65-63</t>
  </si>
  <si>
    <t>921-410-57-87 Виктору Владиславовичу Романенко</t>
  </si>
  <si>
    <t>92100-335Э от 01.05.2017</t>
  </si>
  <si>
    <t>7838348575</t>
  </si>
  <si>
    <t>ЭМС  ООО (335Э)</t>
  </si>
  <si>
    <t>container.spb@yandex.ru; info@energy-tek.com</t>
  </si>
  <si>
    <t>8-911-125-71-53</t>
  </si>
  <si>
    <t xml:space="preserve">Богданов Евгений Валерьевич - зам.ген.дир. </t>
  </si>
  <si>
    <t>92100-440Э от 11.03.2019</t>
  </si>
  <si>
    <t>7804583789</t>
  </si>
  <si>
    <t>ЭНЕРГИЯ ТЭК ООО</t>
  </si>
  <si>
    <t>office@emotorserv.com</t>
  </si>
  <si>
    <t>92100-514Э от 18.03.2020</t>
  </si>
  <si>
    <t>7801332402</t>
  </si>
  <si>
    <t>ЭнергоМоторСервис (ЭМС) ООО</t>
  </si>
  <si>
    <t>fh.arenda@yandex.ru; romasheva.l@fhclub.ru; grigorieva.e@fhclub.ru</t>
  </si>
  <si>
    <t xml:space="preserve">8(812)7406241; 89117044021 </t>
  </si>
  <si>
    <t>92100-218Э от 29.02.2016</t>
  </si>
  <si>
    <t>ИП Григорьев С.А.</t>
  </si>
  <si>
    <t>natasha_lc@mail.ru; zzhem@yandex.ru</t>
  </si>
  <si>
    <t>989112136415</t>
  </si>
  <si>
    <t>92100-271Э от 01.01.2017</t>
  </si>
  <si>
    <t>7805306795</t>
  </si>
  <si>
    <t>ЮНИ ГРАНД - СЕРВИС ООО</t>
  </si>
  <si>
    <t>i.ermakow@gmail.com</t>
  </si>
  <si>
    <t>92100-300Э от 01.02.2017</t>
  </si>
  <si>
    <t>782606680076</t>
  </si>
  <si>
    <t>ИП Ермаков Игорь Александрович</t>
  </si>
  <si>
    <t>medstart-spb@mail.ru</t>
  </si>
  <si>
    <t>8-921-331-22-40</t>
  </si>
  <si>
    <t>92100-465Э от 12.03.2019</t>
  </si>
  <si>
    <t>7842024397</t>
  </si>
  <si>
    <t>МЕДСТАРТ ООО</t>
  </si>
  <si>
    <t>m.akulinin@korda.spb.ru</t>
  </si>
  <si>
    <t>92100-572ЭА от 01.08.2021</t>
  </si>
  <si>
    <t>7839038304</t>
  </si>
  <si>
    <t>ЕТС КОРДА ООО</t>
  </si>
  <si>
    <t>s.chebotarev@rus-express.com</t>
  </si>
  <si>
    <t xml:space="preserve">8-911-926-28-08 </t>
  </si>
  <si>
    <t>Чебаторёв Сергей Викторович</t>
  </si>
  <si>
    <t>92100-648ЭА от 01.07.2023</t>
  </si>
  <si>
    <t>Евразия транзит ООО</t>
  </si>
  <si>
    <t>mail@filterium.ru;</t>
  </si>
  <si>
    <t>8-911-822-97-51; Алексей начальник производства 8-981-140-23-59</t>
  </si>
  <si>
    <t>92100-584ЭА от 01.11.2021</t>
  </si>
  <si>
    <t>7807239199</t>
  </si>
  <si>
    <t>РУН ООО</t>
  </si>
  <si>
    <t>tuningkatera@mail.ru</t>
  </si>
  <si>
    <t>8-911-198-76-12</t>
  </si>
  <si>
    <t>92100-581ЭА от 01.11.2021</t>
  </si>
  <si>
    <t>272549113871</t>
  </si>
  <si>
    <t>ИП Фомкина Александра Владимировна</t>
  </si>
  <si>
    <t>hoocks@mail.ru; Korostelev@pkbavtomatika.ru</t>
  </si>
  <si>
    <t xml:space="preserve">Еркин Иван </t>
  </si>
  <si>
    <t>92100-087Э от 01.01.2009г.</t>
  </si>
  <si>
    <t xml:space="preserve"> ПКБ Автоматика </t>
  </si>
  <si>
    <t>a.ivanov@meteka.ru</t>
  </si>
  <si>
    <t>870-40-84; 79006492738</t>
  </si>
  <si>
    <t>Алексей Иванов; Сергей Данисевич</t>
  </si>
  <si>
    <t>92100-580ЭА от 01.11.2021</t>
  </si>
  <si>
    <t>7805781335</t>
  </si>
  <si>
    <t>ЗАВОД ГИДРОЦИЛИНДРОВ МЕТЕКА ООО</t>
  </si>
  <si>
    <t>ins_nik@mail.ru; zakupka@moi-turnik.ru</t>
  </si>
  <si>
    <t>989111690129</t>
  </si>
  <si>
    <t>92100-426Э от 01.08.2018</t>
  </si>
  <si>
    <t>784807051804</t>
  </si>
  <si>
    <t>ИП Иванченко Николай Сергеевич</t>
  </si>
  <si>
    <t>misv2008@rambler.ru; bioprodstory@gmail.ru</t>
  </si>
  <si>
    <t>Светлана Мищенко</t>
  </si>
  <si>
    <t>92100-679ЭА от 01.08.2024</t>
  </si>
  <si>
    <t>БИОПРОД ООО</t>
  </si>
  <si>
    <t>s-vitaly@mail.ru; info@craftenergo.ru</t>
  </si>
  <si>
    <t>8-981-156-61-38</t>
  </si>
  <si>
    <t>Сугак Виталий Евгеньевич</t>
  </si>
  <si>
    <t>92100-444Э от 01.11.2018</t>
  </si>
  <si>
    <t>7805592627</t>
  </si>
  <si>
    <t>КРАФТЭНЕРГО ООО</t>
  </si>
  <si>
    <t>crc6162@gmail.com</t>
  </si>
  <si>
    <t>8-911-101-99-90</t>
  </si>
  <si>
    <t>92100-587ЭА от 01.01.2022</t>
  </si>
  <si>
    <t>7810913330</t>
  </si>
  <si>
    <t>СПЕЦРЕМСТАНОК ООО</t>
  </si>
  <si>
    <t>vadimtodua.pmk@yandex.ru</t>
  </si>
  <si>
    <t>8-911-151-20-97</t>
  </si>
  <si>
    <t>92100-585ЭА от 18.01.2022</t>
  </si>
  <si>
    <t>7805782297</t>
  </si>
  <si>
    <t>ЦКМ ООО</t>
  </si>
  <si>
    <t>кВтч</t>
  </si>
  <si>
    <t>rcppkvalitet@yandex.ru</t>
  </si>
  <si>
    <t>8-951-643-12-74</t>
  </si>
  <si>
    <t>92100-596ЭА от 01.04.2022</t>
  </si>
  <si>
    <t>7814142906</t>
  </si>
  <si>
    <t>ООО "РЦПП "КВАЛИТЕТ"</t>
  </si>
  <si>
    <t>92100-595ЭА от 01.03.2022</t>
  </si>
  <si>
    <t>7807251929</t>
  </si>
  <si>
    <t>МЗ АДАМ ООО</t>
  </si>
  <si>
    <t>d.melnikov@veps-spb.ru; s.croitoru@veps-spb.ru</t>
  </si>
  <si>
    <t>8-911-232-01-88</t>
  </si>
  <si>
    <t>Александр Никитчин</t>
  </si>
  <si>
    <t>92100-406Э от 01.03.2018</t>
  </si>
  <si>
    <t>7807186363</t>
  </si>
  <si>
    <t>ВЭПС ООО</t>
  </si>
  <si>
    <t>serov@academykotin.ru; cs2@academykotin.ru; buh1@academykotin.ru; eng2@academykotin.ru</t>
  </si>
  <si>
    <t>8-931-580-10-39, 89219025433 Елена Валентиновна показания</t>
  </si>
  <si>
    <t>Зам.ген директора</t>
  </si>
  <si>
    <t>92100-705ЭА от 28.01.2026</t>
  </si>
  <si>
    <t>7811034620</t>
  </si>
  <si>
    <t>СПБ ГБПОУ "АМК"</t>
  </si>
  <si>
    <t>vomm.e@inv-str.ru; info@inv-str.ru</t>
  </si>
  <si>
    <t>7 921 768-79-95</t>
  </si>
  <si>
    <t>92100-637ЭА от 03.05.2023</t>
  </si>
  <si>
    <t>ИнвестСтрой</t>
  </si>
  <si>
    <t>info@navytec.ru</t>
  </si>
  <si>
    <t>(812) 987-81-78; 8-911-972-09-30</t>
  </si>
  <si>
    <t>92100-647ЭА от 26.06.2023</t>
  </si>
  <si>
    <t>Навитек</t>
  </si>
  <si>
    <t>kare_office@kareltd.spb.ru</t>
  </si>
  <si>
    <t>92100-649ЭА от 01.07.2023</t>
  </si>
  <si>
    <t>Каре</t>
  </si>
  <si>
    <t>info@postomsk.ru</t>
  </si>
  <si>
    <t>8-921-943-98-98 Карлюков Александр Михайлович</t>
  </si>
  <si>
    <t>92100-652Э от 01.08.2023</t>
  </si>
  <si>
    <t>ПОСТ</t>
  </si>
  <si>
    <t>office@ooo-specmash.ru</t>
  </si>
  <si>
    <t>8-921-317-78-92 Антон</t>
  </si>
  <si>
    <t>92100-651ЭА от 11.09.2023</t>
  </si>
  <si>
    <t>ООО "СПЕЦМАШ" в  БС №1</t>
  </si>
  <si>
    <t>pld@avasol.ru; buh@avasol.ru</t>
  </si>
  <si>
    <t>8-960-272-74-10 (Богдан Васильевич)</t>
  </si>
  <si>
    <t>Алексей Даньев 8-965-040-20-91</t>
  </si>
  <si>
    <t>92100-518Э от 03.08.2020</t>
  </si>
  <si>
    <t>7814225775</t>
  </si>
  <si>
    <t>ДОСТУПНЫЕ РЕШЕНИЯ ООО</t>
  </si>
  <si>
    <t>salon@avtovo.ru</t>
  </si>
  <si>
    <t>326-55-85; 921-910-64-00; 988129383738</t>
  </si>
  <si>
    <t>92100-386Э от 01.01.2018</t>
  </si>
  <si>
    <t>7801168047</t>
  </si>
  <si>
    <t>АЛЕКС ТРЕЙД ООО</t>
  </si>
  <si>
    <t>zychenkova@vtb.ru; epostrovskaya@vtb.ru; sizonovichas@vtb.ru; TimpanovaLM@vtb.ru; sizonovichas@vtb.ru</t>
  </si>
  <si>
    <t>8-921-866-36-61</t>
  </si>
  <si>
    <t>Георгий Завальнюк</t>
  </si>
  <si>
    <t>92100-054Э от 01.07.2011</t>
  </si>
  <si>
    <t>7702070139</t>
  </si>
  <si>
    <t>БАНК ВТБ (ПАО)</t>
  </si>
  <si>
    <t>v9117754083@icloud.com; v.avtoglobus@bk.ru</t>
  </si>
  <si>
    <t>8-911-775-40-83</t>
  </si>
  <si>
    <t>92100-423Э от 01.07.2018</t>
  </si>
  <si>
    <t>7805717570</t>
  </si>
  <si>
    <t>ТК АВТОГЛОБУС ООО</t>
  </si>
  <si>
    <t>KBobkova@tdera.ru; Arenda@tdera.ru; nkuptsova@tdera.ru</t>
  </si>
  <si>
    <t>8-921-308-58-61; 326-58-58 (7558) основной</t>
  </si>
  <si>
    <t>92100-607ЭА от 01.07.2022</t>
  </si>
  <si>
    <t>7810495210</t>
  </si>
  <si>
    <t>ООО "Дрогери ритейл"</t>
  </si>
  <si>
    <t>ow@kvils.ru; finance@kvils.ru; office@kvils.ru</t>
  </si>
  <si>
    <t xml:space="preserve">Цветкова Ольга
+7 (911) 208-39-58
</t>
  </si>
  <si>
    <t>92100-397Э от 01.02.2018</t>
  </si>
  <si>
    <t>7804544660</t>
  </si>
  <si>
    <t>КВИЛС ООО</t>
  </si>
  <si>
    <t>MZinkevich@spb.beeline.ru</t>
  </si>
  <si>
    <t>8-968-180-88-77</t>
  </si>
  <si>
    <t>Беляева Марина</t>
  </si>
  <si>
    <t>92100-120Э от 01.04.2009г.</t>
  </si>
  <si>
    <t>ВымпелКом</t>
  </si>
  <si>
    <t>georkond@yandex.ru</t>
  </si>
  <si>
    <t>92100-468Э от 01.01.2019</t>
  </si>
  <si>
    <t>780700698550</t>
  </si>
  <si>
    <t>Кондратьева Лариса Викторовна</t>
  </si>
  <si>
    <t>koshak1984@mail.ru</t>
  </si>
  <si>
    <t>8-952-395-99-59</t>
  </si>
  <si>
    <t>92100-342Э от 01.05.2017</t>
  </si>
  <si>
    <t>780528629100</t>
  </si>
  <si>
    <t>Кошкин Артем Алексеевич</t>
  </si>
  <si>
    <t>ofic-info@list.ru</t>
  </si>
  <si>
    <t>331-08-55</t>
  </si>
  <si>
    <t>92100-603ЭА от 01.07.2022</t>
  </si>
  <si>
    <t>781000160359</t>
  </si>
  <si>
    <t>ИП Храмцов</t>
  </si>
  <si>
    <t>rb@normabrus.ru</t>
  </si>
  <si>
    <t>(812) 748-17-17;
8-911-922-03-03</t>
  </si>
  <si>
    <t>92100-575ЭА от 20.09.2021</t>
  </si>
  <si>
    <t>7807132640</t>
  </si>
  <si>
    <t>НОРМА ООО</t>
  </si>
  <si>
    <t>kirmeks@gmail.com</t>
  </si>
  <si>
    <t>8-921-360-30-44</t>
  </si>
  <si>
    <t>Елена Борисовна</t>
  </si>
  <si>
    <t>92100-043Э от 01.01.2009</t>
  </si>
  <si>
    <t>7805143300</t>
  </si>
  <si>
    <t>КИРМЕХ-СЕРВИС</t>
  </si>
  <si>
    <t>info@zmk47.ru</t>
  </si>
  <si>
    <t>8-921-966-05-76</t>
  </si>
  <si>
    <t>89312570771 Виталий Николаевич</t>
  </si>
  <si>
    <t>92100-516Э от 01.07.2020</t>
  </si>
  <si>
    <t>7801331624</t>
  </si>
  <si>
    <t>ТЕХМЕТ ООО</t>
  </si>
  <si>
    <t>vto-buh@mail.ru; profil-vto@inbox.ru</t>
  </si>
  <si>
    <t>988123310888</t>
  </si>
  <si>
    <t>92100-213Э от 01.02.2016</t>
  </si>
  <si>
    <t>7805338109</t>
  </si>
  <si>
    <t>ВТО-ЭКСПОФОРМУЛА ООО</t>
  </si>
  <si>
    <t>filippov@o-m-p.ru; buh@o-m-p.ru; office@o-m-p.ru; info@o-m-p.ru</t>
  </si>
  <si>
    <t>989626821919</t>
  </si>
  <si>
    <t>92100-605ЭА от 01.07.2022</t>
  </si>
  <si>
    <t>7801589207</t>
  </si>
  <si>
    <t>ОМП ООО</t>
  </si>
  <si>
    <t>92100-606ЭА от 01.07.2022</t>
  </si>
  <si>
    <t>7801625078</t>
  </si>
  <si>
    <t>ГОРЫНЫЧ РУСЬ ООО</t>
  </si>
  <si>
    <t>salut@metallium.tech</t>
  </si>
  <si>
    <t>89213003666 / 89111666185</t>
  </si>
  <si>
    <t>Г\д Рустам / Василий Бардаков нач пр-ва</t>
  </si>
  <si>
    <t>92100-510Э от 01.06.2020</t>
  </si>
  <si>
    <t>7805761240</t>
  </si>
  <si>
    <t>МеталлМонтажСервис (ММС)</t>
  </si>
  <si>
    <t>A.B.Petrov@mail.ru; borzik-1@mail.ru</t>
  </si>
  <si>
    <t>8-950-003-15-91</t>
  </si>
  <si>
    <t>92100-600ЭА от 21.06.2022</t>
  </si>
  <si>
    <t>7810375427</t>
  </si>
  <si>
    <t>Армакон</t>
  </si>
  <si>
    <t xml:space="preserve">3265580@bk.ru; Burkov.SV@ekspress-auto.ru  </t>
  </si>
  <si>
    <t>8-812-983-33-57</t>
  </si>
  <si>
    <t>дир. Бурков Сергей</t>
  </si>
  <si>
    <t>92100-617ЭА от 19.10.2022</t>
  </si>
  <si>
    <t>7805170960</t>
  </si>
  <si>
    <t>Экспресс-авто</t>
  </si>
  <si>
    <t>k_nastasia@list.ru</t>
  </si>
  <si>
    <t>8-981-892-49-38</t>
  </si>
  <si>
    <t>92100-619ЭА от 01.11.2022</t>
  </si>
  <si>
    <t>780229406314</t>
  </si>
  <si>
    <t>ИП Алексеева А.А.</t>
  </si>
  <si>
    <t>kd@gktt14.ru; k.v.protopopova@yandex.ru; ma@gktt14.ru</t>
  </si>
  <si>
    <t>702-01-07;
8-921-091-16-62;
 8921-858-94-44</t>
  </si>
  <si>
    <t>92100-624ЭА от 01.01.2023</t>
  </si>
  <si>
    <t>7805796726</t>
  </si>
  <si>
    <t>ООО ТЕПЛОЭНЕРГОПРОМ (ТЭП)</t>
  </si>
  <si>
    <t>sveta230666@mail.ru</t>
  </si>
  <si>
    <t>989533779926, 989218472066</t>
  </si>
  <si>
    <t>92100-557ЭА от 01.04.2021</t>
  </si>
  <si>
    <t>780522971043</t>
  </si>
  <si>
    <t>Медведева Светлана Викторовна</t>
  </si>
  <si>
    <t>zavalnyukgv@vtb.ru</t>
  </si>
  <si>
    <t>92100-315Э от 25.05.2017</t>
  </si>
  <si>
    <t>gst.spb.nm@gmail.com</t>
  </si>
  <si>
    <t>989213144694</t>
  </si>
  <si>
    <t>92100-631ЭА от 01.02.2023</t>
  </si>
  <si>
    <t>780720514761</t>
  </si>
  <si>
    <t>ИП Никифоров</t>
  </si>
  <si>
    <t>Info_npo_rps@inbox.ru</t>
  </si>
  <si>
    <t>8-911-645-65-00</t>
  </si>
  <si>
    <t>92100-632ЭА от 01.02.2023</t>
  </si>
  <si>
    <t>7801640083</t>
  </si>
  <si>
    <t>НПО Радиоэлектронное приборостроение</t>
  </si>
  <si>
    <t>budyakov.sl@iftrima.ru</t>
  </si>
  <si>
    <t>8-921-859-29-77</t>
  </si>
  <si>
    <t>г.д. Будяков Сергей Леонидович</t>
  </si>
  <si>
    <t>92100-634ЭА от 01.04.2023</t>
  </si>
  <si>
    <t>7810155975</t>
  </si>
  <si>
    <t>ИФ Трима</t>
  </si>
  <si>
    <t>otk@rosmet.spb.ru</t>
  </si>
  <si>
    <t xml:space="preserve">Турунов Андрей Викторович </t>
  </si>
  <si>
    <t>92100-639ЭА от 01.05.2023</t>
  </si>
  <si>
    <t>РМ ГРУПП (ранее Росмет) ООО</t>
  </si>
  <si>
    <t>dvinaspring@yandex.ru</t>
  </si>
  <si>
    <t>+7 (995) 625-28-65</t>
  </si>
  <si>
    <t>92100-643ЭА от 08.06.2023</t>
  </si>
  <si>
    <t>Пружинный завод Двина</t>
  </si>
  <si>
    <t>latmet@latmet.spb.ru</t>
  </si>
  <si>
    <t>92100-646ЭА от 06.07.2023</t>
  </si>
  <si>
    <t>Латмет ООО</t>
  </si>
  <si>
    <t>info@mtdspb.ru; vlvvazhur@mtdspb.ru;GSBelov@mmt.spb.ru</t>
  </si>
  <si>
    <t>Георгий Сергеевич Белов +7 911-292-14-21</t>
  </si>
  <si>
    <t>92100-655ЭА от 17.01.2024</t>
  </si>
  <si>
    <t>ММТ ООО</t>
  </si>
  <si>
    <t>mt@mashtechnology.ru</t>
  </si>
  <si>
    <t>8-921-768-93-81-Кристина (рук-ль договорного отдела), 8-921-388-08-96 Опалым Борис Олегович (главный механик)</t>
  </si>
  <si>
    <t>92100-658ЭА от 01.11.2023</t>
  </si>
  <si>
    <t>ООО "МашТехнология" (МТ)</t>
  </si>
  <si>
    <t>umutbaev.dmitrii@mail.ru</t>
  </si>
  <si>
    <t>8-968-185-08-88</t>
  </si>
  <si>
    <t>92100-659ЭА от 03.11.2023</t>
  </si>
  <si>
    <t>ИП Умутбаев Д.Р.</t>
  </si>
  <si>
    <r>
      <t xml:space="preserve">sales@ksanf.spb.ru; </t>
    </r>
    <r>
      <rPr>
        <sz val="8"/>
        <color rgb="FFFF0000"/>
        <rFont val="Arial"/>
        <family val="2"/>
        <charset val="204"/>
      </rPr>
      <t>lysakov53@yandex.ru</t>
    </r>
  </si>
  <si>
    <t>8-906-253-80-80</t>
  </si>
  <si>
    <t>92100-663ЭА от 01.12.2023</t>
  </si>
  <si>
    <t>ИП Лузаков С.К.</t>
  </si>
  <si>
    <t>office@o-m-p.ru ; info@o-m-p.ru</t>
  </si>
  <si>
    <t>8-921-646-90-67</t>
  </si>
  <si>
    <t>г.д. Филиппов Дмитрий Валерьевич</t>
  </si>
  <si>
    <t>92100-662ЭА от 27.11.2023</t>
  </si>
  <si>
    <t>Первая Сварочная</t>
  </si>
  <si>
    <t>kvantlaser@gmail.com</t>
  </si>
  <si>
    <t>92100-644ЭА от 01.06.2023</t>
  </si>
  <si>
    <t>Квант-Энерджи</t>
  </si>
  <si>
    <t>info@rstspb.com</t>
  </si>
  <si>
    <t>(812) 313-21-15</t>
  </si>
  <si>
    <t>92100-668ЭА от 01.03.2024</t>
  </si>
  <si>
    <t>ООО "РСТ"</t>
  </si>
  <si>
    <t>devgalimov@yandex.ru</t>
  </si>
  <si>
    <t>8-951-809-98-24 Галилов Дэвис Равелевич</t>
  </si>
  <si>
    <t>Бунтов Андрей 8-921-938-18-30</t>
  </si>
  <si>
    <t>92100-685ЭА от 01.01.2025</t>
  </si>
  <si>
    <t>Фабрика цвета ООО</t>
  </si>
  <si>
    <t>info@polytc.ru</t>
  </si>
  <si>
    <t>г.д. Бардов Владимир Михайлович</t>
  </si>
  <si>
    <t>92100-689ЭА от 01.02.2025</t>
  </si>
  <si>
    <t>ООО "НПП ПОЛИТЕХЦЕНТР"</t>
  </si>
  <si>
    <t>vladimir.lyubovikov@weichihydraulics.com</t>
  </si>
  <si>
    <t>8-911-088-02-26</t>
  </si>
  <si>
    <t>92100-686ЭА от 01.01.2025</t>
  </si>
  <si>
    <t>ООО "Вейчи Гидравлика"</t>
  </si>
  <si>
    <t>superzuborez@gmail.com</t>
  </si>
  <si>
    <t>8-909-589-72-32</t>
  </si>
  <si>
    <t>Попов Алексей Викторович</t>
  </si>
  <si>
    <t>92100-688ЭА от 01.02.2025</t>
  </si>
  <si>
    <t>ИП Попов Алексей Викторович</t>
  </si>
  <si>
    <t>info@posystem.ru</t>
  </si>
  <si>
    <t>8- (911) 098 64 17</t>
  </si>
  <si>
    <t>г.д. Кислицкоя Ирина Николаевна</t>
  </si>
  <si>
    <t>92100-690ЭА от 01.04.2025</t>
  </si>
  <si>
    <t>АО "ПО "СИСТЕМА"</t>
  </si>
  <si>
    <t>info@turbotectspb.com</t>
  </si>
  <si>
    <t>92100-692ЭА от 01.05.2025</t>
  </si>
  <si>
    <t>АО «Турботект Санкт-Петербург»</t>
  </si>
  <si>
    <t>shipprovisions@mail.ru</t>
  </si>
  <si>
    <t>92100-693ЭА от 13.05.2025</t>
  </si>
  <si>
    <t>ИП Архипов МА</t>
  </si>
  <si>
    <t>kabinpa@poly-kap.com</t>
  </si>
  <si>
    <t>92100-697ЭА от 09.07.2025</t>
  </si>
  <si>
    <t>ООО «Полипап»</t>
  </si>
  <si>
    <t>ia.tsabanov@yandex.ru</t>
  </si>
  <si>
    <t>+7(981)-281-00-51</t>
  </si>
  <si>
    <t>92100-696ЭА от 04.07.2025</t>
  </si>
  <si>
    <t>ООО "Гидравлические решения"</t>
  </si>
  <si>
    <t>k.shanaev@finsm.ru</t>
  </si>
  <si>
    <t xml:space="preserve"> +7(931)262-71-74</t>
  </si>
  <si>
    <t>92100-698ЭА от 16.07.2025</t>
  </si>
  <si>
    <t>АО "ФИН-Стройматериал"</t>
  </si>
  <si>
    <t>td-s@list.ru</t>
  </si>
  <si>
    <t xml:space="preserve"> (812) 952-94-92</t>
  </si>
  <si>
    <t>92100-691ЭА от 01.04.2025</t>
  </si>
  <si>
    <t>ТДС ООО</t>
  </si>
  <si>
    <t>info@tsz-nt.ru</t>
  </si>
  <si>
    <t>(812) 677-75-70, +7(981)800-69-49</t>
  </si>
  <si>
    <t>92100-695ЭА от 17.06.2025</t>
  </si>
  <si>
    <t>ООО «ТехноСевероЗапад-НТ»</t>
  </si>
  <si>
    <t>Steel8008@yandex.ru</t>
  </si>
  <si>
    <t xml:space="preserve"> 8(812)913-37-06, +7(921)910-86-88</t>
  </si>
  <si>
    <t>92100-708ЭА от 16.01.2026</t>
  </si>
  <si>
    <t>781014958490</t>
  </si>
  <si>
    <t>ИП Лебедев</t>
  </si>
  <si>
    <t>9522359955@mail.ru</t>
  </si>
  <si>
    <t xml:space="preserve"> +7(952)235-99-55</t>
  </si>
  <si>
    <t>92100-706ЭА от 18.12.2025</t>
  </si>
  <si>
    <t>ООО «Невская механика»</t>
  </si>
  <si>
    <t>8-911-815-54-61</t>
  </si>
  <si>
    <t>92100-703ЭА от 01.09.2025</t>
  </si>
  <si>
    <t>БАС-СЕРВИС ООО</t>
  </si>
  <si>
    <t>info@lesard.ru</t>
  </si>
  <si>
    <t>8 (812) 336-41-07</t>
  </si>
  <si>
    <t>92100-712ЭА от 17.02.2026</t>
  </si>
  <si>
    <t>Лесард Контейнер ООО</t>
  </si>
  <si>
    <t>info@tol-kom.ru</t>
  </si>
  <si>
    <t>8(952) 226 55-03</t>
  </si>
  <si>
    <t>92100-711ЭА от 09.02.2026</t>
  </si>
  <si>
    <t>583508897207</t>
  </si>
  <si>
    <t>Толстенков А.А. BG</t>
  </si>
  <si>
    <t>bbk-logistik@yandex.ru; info@vvk-logistik.ru</t>
  </si>
  <si>
    <t>8-904-643-53-03</t>
  </si>
  <si>
    <t>Владимир Владиславович</t>
  </si>
  <si>
    <t>92100-676ЭА от 01.06.2024</t>
  </si>
  <si>
    <t>ВВК Логистик</t>
  </si>
  <si>
    <t>enenvo@yandex.ru; firsovvladimirv@gmail.com</t>
  </si>
  <si>
    <t>8-911-255-17-45</t>
  </si>
  <si>
    <t>Фирсов Владимир Владимирович</t>
  </si>
  <si>
    <t>92100-670ЭА от 26.02.2024</t>
  </si>
  <si>
    <t>МПВ</t>
  </si>
  <si>
    <t>ptr_spb@bk.ru</t>
  </si>
  <si>
    <t>8-911-00036-63</t>
  </si>
  <si>
    <t>92100-635ЭА от 10.04.2023</t>
  </si>
  <si>
    <t>7816657266</t>
  </si>
  <si>
    <t>Промтехноресурс</t>
  </si>
  <si>
    <t>92100-664ЭА от 01.12.2023</t>
  </si>
  <si>
    <t>ИП Корж Е.А.</t>
  </si>
  <si>
    <t>office@360constr.com</t>
  </si>
  <si>
    <t>8 (812) 360-8-360, 8 (812) 612-11-72</t>
  </si>
  <si>
    <t>92100-710ЭА от 09.02.2026</t>
  </si>
  <si>
    <t>360 СТРОИТЕЛЬСТВО ООО</t>
  </si>
  <si>
    <t>sevlent@mail.ru</t>
  </si>
  <si>
    <t>8(812)574-50-56</t>
  </si>
  <si>
    <t>92100-714ЭА от 12.03.2026</t>
  </si>
  <si>
    <t>Севлент ООО</t>
  </si>
  <si>
    <t>mzn5@mail.ru</t>
  </si>
  <si>
    <t>8(812) 317-16-33, (812) 647-64-99</t>
  </si>
  <si>
    <t>92100-713ЭА от 17.02.2026</t>
  </si>
  <si>
    <t>МЗ №5 ООО</t>
  </si>
  <si>
    <t>kotelspb@bk.ru</t>
  </si>
  <si>
    <t xml:space="preserve"> 8(812) 339-04-76</t>
  </si>
  <si>
    <t>92100-715ЭА от 15.04.2026</t>
  </si>
  <si>
    <t>Промышленные уплотнения СПБ ООО</t>
  </si>
  <si>
    <t>dimanikh@gmail.com</t>
  </si>
  <si>
    <t>7(921)564-88-06</t>
  </si>
  <si>
    <t>92100-716ЭА от 14.05.2026</t>
  </si>
  <si>
    <t>ЛГК ООО</t>
  </si>
  <si>
    <t>smikh2878@gmail.com</t>
  </si>
  <si>
    <t>7(926)001-13-54</t>
  </si>
  <si>
    <t>92100-717ЭА от 01.06.2026</t>
  </si>
  <si>
    <t>КР Транспорт ООО</t>
  </si>
  <si>
    <t>alexander.prilepsky@tele2.ru</t>
  </si>
  <si>
    <t>7 (911)-981-95-28</t>
  </si>
  <si>
    <t>Прилепский Александр</t>
  </si>
  <si>
    <t>92100-199Э от 01.11.2015</t>
  </si>
  <si>
    <t>7743895280</t>
  </si>
  <si>
    <t>Т2 Мобайл</t>
  </si>
  <si>
    <t>Aleksandr.Gornostaypolskiy@universalmash.kzgroup.ru; Vladimir.Lang@universalmash.kzgroup.ru</t>
  </si>
  <si>
    <t>92100-539Э от 01.04.2021</t>
  </si>
  <si>
    <t>7805060220</t>
  </si>
  <si>
    <t>ЗАВОД УНИВЕРСАЛМАШ АО</t>
  </si>
  <si>
    <t>pavilion-2021@mail.ru</t>
  </si>
  <si>
    <t>8-911-952-42-03</t>
  </si>
  <si>
    <t>92100-586ЭА от 01.12.2021</t>
  </si>
  <si>
    <t>780721352601</t>
  </si>
  <si>
    <t>ИП Кобылянский Аурелиан Анатольевич</t>
  </si>
  <si>
    <t>329-02-54; 753-83-63</t>
  </si>
  <si>
    <t>92100-328Э от 01.04.2017</t>
  </si>
  <si>
    <t>Балтийский Машиностроительный Инструментальный завод ООО</t>
  </si>
  <si>
    <t>evodolago@mail.ru</t>
  </si>
  <si>
    <t>8-952-365-88-82 Екатерина</t>
  </si>
  <si>
    <t>92100-574ЭА от 01.10.2021</t>
  </si>
  <si>
    <t>780736208488</t>
  </si>
  <si>
    <t>Водолаго Александр Александрович ИП</t>
  </si>
  <si>
    <t>fatyullaev.iport@icloud.com</t>
  </si>
  <si>
    <t>8-951-651-52-16</t>
  </si>
  <si>
    <t>Фатуллаев Джаваншир Мамедага Оглы</t>
  </si>
  <si>
    <t>92100-678ЭА от 01.06.2024</t>
  </si>
  <si>
    <t>ИП Фатуллаев</t>
  </si>
  <si>
    <t>d.korchagin@gcup.spb.ru; info@gcup.spb.ru</t>
  </si>
  <si>
    <t>8-911-915-84-62</t>
  </si>
  <si>
    <t>Корчагин Денис Павлович</t>
  </si>
  <si>
    <t>92100-675Э от 27.06.2024</t>
  </si>
  <si>
    <t>7842019044</t>
  </si>
  <si>
    <t>Городской Центр Упр. парковками</t>
  </si>
  <si>
    <t>1цк ГП, НН</t>
  </si>
  <si>
    <t>Melnikov-YA@gmt-gazprom.ru; Smirnov-EV@gmt-gazprom.ru</t>
  </si>
  <si>
    <t>8-812-385-93-70/8-964-388-57-16</t>
  </si>
  <si>
    <t>Мельников Юрий /Смирнов Евгений Владимирович</t>
  </si>
  <si>
    <t>92100-268Э от 01.05.2017</t>
  </si>
  <si>
    <t>7705750968</t>
  </si>
  <si>
    <t>Газпромэнергосбыт (АГНКС) АО</t>
  </si>
  <si>
    <t>1цк ГП, СН-2</t>
  </si>
  <si>
    <t>Shepelev.AP@gazprom-neft.ru; GPN-TSPB@gazprom-neft.ru; KrtyanGA@gazpromenergosbyt.ru; Smorodin.VE@gazprom-neft.ru; Sidorov.IG@gazprom-neft.ru</t>
  </si>
  <si>
    <t>8-921-300-07-65</t>
  </si>
  <si>
    <t>Шепелев Александр Павлович</t>
  </si>
  <si>
    <t>Газпромэнергосбыт (Газпромнефть Терминал)</t>
  </si>
  <si>
    <t>3цк ГП, СН-2</t>
  </si>
  <si>
    <t>Alexander.Prilepsky@tele2.ru; alexey.garaev@tele2.ru</t>
  </si>
  <si>
    <t>8-911-981-95-28</t>
  </si>
  <si>
    <t>ООО Т2 Мобайл ц. 280</t>
  </si>
  <si>
    <t>4цк ГП, НН</t>
  </si>
  <si>
    <t>8-951-677-76-02</t>
  </si>
  <si>
    <t>ООО Т2 Мобайл ц. 370</t>
  </si>
  <si>
    <t>ООО Т2 Мобайл ц. 750</t>
  </si>
  <si>
    <t>liubushkina.iv@orgp.spb.ru</t>
  </si>
  <si>
    <t>521-88-28</t>
  </si>
  <si>
    <t>92100-701ЭА от 20.10.2025</t>
  </si>
  <si>
    <t>7840379186</t>
  </si>
  <si>
    <t>Организатор перевозок СПб ГКУ</t>
  </si>
  <si>
    <t>овый договор с 01.11.2025</t>
  </si>
  <si>
    <t>pl-42spb@mail.ru</t>
  </si>
  <si>
    <t>92100-614ЭА от 01.01.2023</t>
  </si>
  <si>
    <t>7805011223</t>
  </si>
  <si>
    <t>Пром. Технологический Колледж им.Н.И. Путилова СПб ГБПОУ</t>
  </si>
  <si>
    <t>EPAgapitov@ckbm.ru</t>
  </si>
  <si>
    <t>92100-588ЭА/37/13967-Д от 01.03.2022</t>
  </si>
  <si>
    <t>7806394392</t>
  </si>
  <si>
    <t>ЦКБМ АО</t>
  </si>
  <si>
    <t>3цк ГП, ВН</t>
  </si>
  <si>
    <t>ЭСК</t>
  </si>
  <si>
    <t>расчёт по цене ГП после 14-го числа текущего месяца</t>
  </si>
  <si>
    <t xml:space="preserve">89110090715@yandex.ru; aliotprin@mail.ru; terskih25@aliot-spb.ru  </t>
  </si>
  <si>
    <t>92100-474Э от 01.06.2019</t>
  </si>
  <si>
    <t>8901012006</t>
  </si>
  <si>
    <t>Фонд регионального развития НО</t>
  </si>
  <si>
    <t>3цк ГП</t>
  </si>
  <si>
    <t>Итого отнесено Потребителям:</t>
  </si>
  <si>
    <t>Покупка электрической энергии, в т.ч:</t>
  </si>
  <si>
    <t>МАКЕТ:</t>
  </si>
  <si>
    <t>1С ЕРП:</t>
  </si>
  <si>
    <t xml:space="preserve">По точкам приема АСКУЭ </t>
  </si>
  <si>
    <t>Покупка ЭСК у ПТЗ</t>
  </si>
  <si>
    <t>Итог</t>
  </si>
  <si>
    <t xml:space="preserve">Исполнитель: Михайлова Е.А. </t>
  </si>
  <si>
    <t>Начальник отдела по работе с абонентами АО "ЭСК"</t>
  </si>
  <si>
    <t>С.И. Кривцун</t>
  </si>
  <si>
    <t>Согласовано:</t>
  </si>
  <si>
    <t>Директор АО "ЭСК"</t>
  </si>
  <si>
    <t>А.А. Ломейко</t>
  </si>
  <si>
    <t>sign_mau@KIROVTELECOM.NET</t>
  </si>
  <si>
    <t>Кировтелеком</t>
  </si>
  <si>
    <t>grmv71@mail.ru</t>
  </si>
  <si>
    <t>Гео Мастер</t>
  </si>
  <si>
    <t xml:space="preserve"> sai@energo-ms.com</t>
  </si>
  <si>
    <t>ЭнергомашСервис</t>
  </si>
  <si>
    <t>Андромеда</t>
  </si>
  <si>
    <t xml:space="preserve">esnbank@ya.ru; irostaf@gmail.com </t>
  </si>
  <si>
    <t>8-921-750-48-94</t>
  </si>
  <si>
    <t>92100-030Э от 01.01.2009</t>
  </si>
  <si>
    <t>7809007852</t>
  </si>
  <si>
    <t>ЕСН</t>
  </si>
  <si>
    <t>integraf_2002@mail.ru</t>
  </si>
  <si>
    <t>911-210-65-62</t>
  </si>
  <si>
    <t>92100-277Э от 01.01.2017</t>
  </si>
  <si>
    <t>7805042870</t>
  </si>
  <si>
    <t>Интеграф</t>
  </si>
  <si>
    <t>kopcapirina@yandex.ru</t>
  </si>
  <si>
    <t xml:space="preserve">8-905-258-18-00 </t>
  </si>
  <si>
    <t>Ирина Кузнева</t>
  </si>
  <si>
    <t>92100-211Э от 01.02.2016</t>
  </si>
  <si>
    <t>780450188320</t>
  </si>
  <si>
    <t>Высоцкий Игорь Николаевич</t>
  </si>
  <si>
    <t xml:space="preserve">optimum812@mail.ru; docs@optimum812.ru </t>
  </si>
  <si>
    <t>89213522714; 931-210-27-13</t>
  </si>
  <si>
    <t>92100-496Э от 01.12.2019</t>
  </si>
  <si>
    <t>7805719841</t>
  </si>
  <si>
    <t>ОПТИМУМ ООО</t>
  </si>
  <si>
    <r>
      <t xml:space="preserve">do_sco@tornado.spb.ru; </t>
    </r>
    <r>
      <rPr>
        <sz val="8"/>
        <color rgb="FF00B050"/>
        <rFont val="Arial"/>
        <family val="2"/>
        <charset val="204"/>
      </rPr>
      <t xml:space="preserve">opsco@tornado.spb.ru </t>
    </r>
  </si>
  <si>
    <t>8-912-960-33-05</t>
  </si>
  <si>
    <t>92100-173Э от 01.04.2015</t>
  </si>
  <si>
    <t>7805463830</t>
  </si>
  <si>
    <t>ООО Охранная организация
 "Торнадо "Служба Централизованной Охраны"</t>
  </si>
  <si>
    <t>julia.kotova@rutil-spb.ru; info@rutil-spb.ru</t>
  </si>
  <si>
    <t>92100-480Э от 21.06.2019</t>
  </si>
  <si>
    <t>7810025180</t>
  </si>
  <si>
    <t>РУТИЛ ООО</t>
  </si>
  <si>
    <t>solidus-k@yandex.ru</t>
  </si>
  <si>
    <t>331-39-07; 326-56-21; 8-911-934-19-61</t>
  </si>
  <si>
    <t>Байкалов А.В.</t>
  </si>
  <si>
    <t>92100-201Э от 01.07.2015</t>
  </si>
  <si>
    <t>7805153700</t>
  </si>
  <si>
    <t>СОЛИДУС ООО</t>
  </si>
  <si>
    <t>off-promet4@yandex.ru; info@prommmetall.ru</t>
  </si>
  <si>
    <t>331-65-35</t>
  </si>
  <si>
    <t>92100-298Э от 01.02.2017</t>
  </si>
  <si>
    <t>7805456688</t>
  </si>
  <si>
    <t>ТРАНС МАРКЕТ ООО</t>
  </si>
  <si>
    <t>vniiko@gmail.com</t>
  </si>
  <si>
    <t>331-39-99</t>
  </si>
  <si>
    <t>Левон Шагрерян</t>
  </si>
  <si>
    <t>92100-295Э от 01.02.2017</t>
  </si>
  <si>
    <t>7802001570</t>
  </si>
  <si>
    <t>Фирма ВНИ и КО ООО</t>
  </si>
  <si>
    <t>vaizmaylov@rosatom.ru; sidanshin@rosatom.ru</t>
  </si>
  <si>
    <t>8-981-713-38-07</t>
  </si>
  <si>
    <t>Иванов Антон Игоревич гл. энергетик</t>
  </si>
  <si>
    <t>92100-687Э от 01.01.2025</t>
  </si>
  <si>
    <t>6682016932</t>
  </si>
  <si>
    <t>ЦЕНТРОТЕХ-ИНЖИНИРИНГ ООО</t>
  </si>
  <si>
    <t>elpmi@mail.ru</t>
  </si>
  <si>
    <t>8-921-957-06-94</t>
  </si>
  <si>
    <t>92100-405Э от 01.04.2018</t>
  </si>
  <si>
    <t>7805604304</t>
  </si>
  <si>
    <t>ЭЛПМИ ООО</t>
  </si>
  <si>
    <t>pichugina@vostok.spb.ru; mail@vostok.spb.ru; semenyk@vostok.spb.ru</t>
  </si>
  <si>
    <t xml:space="preserve">318-05-50; 911-190-23-61; 981-731-70-04 </t>
  </si>
  <si>
    <t>92100-522Э от 01.01.2021</t>
  </si>
  <si>
    <t>7802115256</t>
  </si>
  <si>
    <t>Восток-Сервис ТД</t>
  </si>
  <si>
    <t>umnitcyna-m@datagile.ru; anatoly@bcimperial.ru</t>
  </si>
  <si>
    <t xml:space="preserve">Анатолий Владимирович
Т. +7 921 747 74 69, т/ф 363 00 47
</t>
  </si>
  <si>
    <t>Умницына Маргарита Дмитриевна</t>
  </si>
  <si>
    <t>92100-561Э от 01.02.2021</t>
  </si>
  <si>
    <t>7805772235</t>
  </si>
  <si>
    <t>ДАТАДЖАЙЛ ООО</t>
  </si>
  <si>
    <t>marsok23@mail.ru; motstan05@mail.ru</t>
  </si>
  <si>
    <t>9879112805727, 989213581197, 988129990806</t>
  </si>
  <si>
    <t>92100-573ЭА от 01.08.2021</t>
  </si>
  <si>
    <t>7805775003</t>
  </si>
  <si>
    <t>ТЕХСТАЛЬ</t>
  </si>
  <si>
    <t>vlobachev@mail.ru; technicaspb@bk.ru</t>
  </si>
  <si>
    <t>8-911-234-88-68</t>
  </si>
  <si>
    <t>92100-604ЭА от 01.07.2022</t>
  </si>
  <si>
    <t>7839341942</t>
  </si>
  <si>
    <t>Техника СПб</t>
  </si>
  <si>
    <t xml:space="preserve">elena.k@rugidro.com; info@rugidro.com; </t>
  </si>
  <si>
    <t>989052352444, 988123209778</t>
  </si>
  <si>
    <t>92100-610ЭА от 01.08.2022</t>
  </si>
  <si>
    <t>7805675873</t>
  </si>
  <si>
    <t>Гидравлический инструмент</t>
  </si>
  <si>
    <t>sspspb777@mail.ru</t>
  </si>
  <si>
    <t>8-911-990-51-46</t>
  </si>
  <si>
    <t>Зубкова Виктория директор</t>
  </si>
  <si>
    <t>92100-609ЭА от 01.08.2022</t>
  </si>
  <si>
    <t>7819317109</t>
  </si>
  <si>
    <t>Студия Сан Петергоф</t>
  </si>
  <si>
    <t>aww_dg@mail.ru</t>
  </si>
  <si>
    <t>Догадин</t>
  </si>
  <si>
    <t>92100-288Э от 01.02.2017</t>
  </si>
  <si>
    <t>7805035834</t>
  </si>
  <si>
    <t>СВАРОЧНОЕ И ВЕНТИЛЯЦИОННОЕ ОБОРУДОВАНИЕ ООО</t>
  </si>
  <si>
    <t>isakov@vrt-stroy.ru; info@vrt-stroy.ru</t>
  </si>
  <si>
    <t>92100-599ЭА от 16.06.2022</t>
  </si>
  <si>
    <t>7813134476</t>
  </si>
  <si>
    <t>ООО "Вертикаль"</t>
  </si>
  <si>
    <t xml:space="preserve">NevainTehMash@yandex.ru      </t>
  </si>
  <si>
    <t>989214346382, 989216574514</t>
  </si>
  <si>
    <t>92100-601ЭА от 21.06.2022</t>
  </si>
  <si>
    <t>781660609802</t>
  </si>
  <si>
    <t>ИП Попов</t>
  </si>
  <si>
    <t>info@thermade.ru</t>
  </si>
  <si>
    <t>8-911-920-47-64</t>
  </si>
  <si>
    <t>Игорь Александрович ( они же фирма Термэйд)</t>
  </si>
  <si>
    <t>92100-292Э от 01.02.2017</t>
  </si>
  <si>
    <t>7807359584</t>
  </si>
  <si>
    <t>НЕВАПЛАЗМ ООО</t>
  </si>
  <si>
    <t>zimmerman78@yandex.ru; 9851153@mail.ru</t>
  </si>
  <si>
    <t>8-921-944-74-08</t>
  </si>
  <si>
    <t>92100-323Э от 01.04.2017</t>
  </si>
  <si>
    <t>7804493260</t>
  </si>
  <si>
    <t>ЦИММЕРМАН ООО</t>
  </si>
  <si>
    <t xml:space="preserve">r.namazov53@gmail.com </t>
  </si>
  <si>
    <t>8-965-785-66-80</t>
  </si>
  <si>
    <t>Намазов Шамси Газанфар Оглы</t>
  </si>
  <si>
    <t>92100-677ЭА от 01.06.2024</t>
  </si>
  <si>
    <t>ИП  Намазов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</si>
</sst>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00"/>
    <numFmt numFmtId="166" formatCode="#,##0.000"/>
    <numFmt numFmtId="167" formatCode="0.000"/>
    <numFmt numFmtId="168" formatCode="#,##0.0"/>
  </numFmts>
  <fonts count="42"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</font>
    <font>
      <sz val="8"/>
      <color indexed="63"/>
      <name val="Arial"/>
      <family val="2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1"/>
      <name val="Calibri"/>
      <family val="2"/>
      <scheme val="minor"/>
    </font>
    <font>
      <sz val="10"/>
      <name val="Calibri"/>
      <family val="2"/>
      <charset val="204"/>
      <scheme val="minor"/>
    </font>
    <font>
      <vertAlign val="superscript"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8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color rgb="FF0070C0"/>
      <name val="Calibri"/>
      <family val="2"/>
      <charset val="204"/>
      <scheme val="minor"/>
    </font>
    <font>
      <u/>
      <sz val="10"/>
      <color theme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8"/>
      <color rgb="FF0070C0"/>
      <name val="Arial"/>
      <family val="2"/>
    </font>
    <font>
      <u/>
      <sz val="11"/>
      <name val="Calibri"/>
      <family val="2"/>
      <charset val="204"/>
    </font>
    <font>
      <b/>
      <sz val="8"/>
      <name val="Arial"/>
      <family val="2"/>
      <charset val="204"/>
    </font>
    <font>
      <sz val="8"/>
      <color rgb="FF00B050"/>
      <name val="Arial"/>
      <family val="2"/>
      <charset val="204"/>
    </font>
    <font>
      <sz val="10"/>
      <color rgb="FFFF0000"/>
      <name val="Calibri"/>
      <family val="2"/>
      <charset val="204"/>
      <scheme val="minor"/>
    </font>
    <font>
      <sz val="8"/>
      <color rgb="FFFF0000"/>
      <name val="Arial"/>
      <family val="2"/>
      <charset val="204"/>
    </font>
    <font>
      <b/>
      <u/>
      <sz val="8"/>
      <color rgb="FFFF0000"/>
      <name val="Arial"/>
      <family val="2"/>
      <charset val="204"/>
    </font>
    <font>
      <sz val="9"/>
      <color rgb="FFFF9300"/>
      <name val="Arial"/>
      <family val="2"/>
      <charset val="204"/>
    </font>
    <font>
      <sz val="9"/>
      <color rgb="FF666666"/>
      <name val="Arial"/>
      <family val="2"/>
      <charset val="204"/>
    </font>
    <font>
      <u/>
      <sz val="8"/>
      <name val="Arial"/>
      <family val="2"/>
      <charset val="204"/>
    </font>
    <font>
      <sz val="8"/>
      <name val="Times New Roman"/>
      <family val="1"/>
      <charset val="204"/>
    </font>
    <font>
      <sz val="11"/>
      <name val="Times New Roman"/>
      <family val="1"/>
      <charset val="204"/>
    </font>
    <font>
      <u/>
      <sz val="10"/>
      <color rgb="FFFF0000"/>
      <name val="Arial"/>
      <family val="2"/>
      <charset val="204"/>
    </font>
    <font>
      <sz val="9"/>
      <name val="Calibri"/>
      <family val="2"/>
      <charset val="204"/>
    </font>
    <font>
      <sz val="10"/>
      <name val="Times New Roman"/>
      <family val="1"/>
      <charset val="204"/>
    </font>
    <font>
      <sz val="10"/>
      <color indexed="63"/>
      <name val="Arial"/>
      <family val="2"/>
    </font>
    <font>
      <sz val="8"/>
      <color rgb="FFFF0000"/>
      <name val="Arial"/>
      <family val="2"/>
    </font>
    <font>
      <sz val="9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name val="Arial"/>
      <family val="2"/>
      <charset val="204"/>
    </font>
    <font>
      <b/>
      <u/>
      <sz val="10"/>
      <name val="Arial"/>
      <family val="2"/>
      <charset val="204"/>
    </font>
    <font>
      <u/>
      <sz val="10"/>
      <color rgb="FF0563C1"/>
      <name val="Arial Cyr"/>
    </font>
    <font>
      <sz val="10"/>
      <color rgb="FF00B05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3">
    <xf numFmtId="0" fontId="0" fillId="0" borderId="0"/>
    <xf numFmtId="0" fontId="4" fillId="0" borderId="0"/>
    <xf numFmtId="0" fontId="16" fillId="0" borderId="0" applyNumberFormat="0" applyFill="0" applyBorder="0" applyAlignment="0" applyProtection="0"/>
  </cellStyleXfs>
  <cellXfs count="27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0" applyNumberFormat="1"/>
    <xf numFmtId="0" fontId="3" fillId="0" borderId="0" xfId="0" applyFont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166" fontId="5" fillId="2" borderId="0" xfId="1" applyNumberFormat="1" applyFont="1" applyFill="1" applyAlignment="1">
      <alignment horizontal="right" vertical="top"/>
    </xf>
    <xf numFmtId="0" fontId="2" fillId="0" borderId="0" xfId="0" applyFont="1"/>
    <xf numFmtId="164" fontId="6" fillId="0" borderId="0" xfId="0" applyNumberFormat="1" applyFont="1"/>
    <xf numFmtId="167" fontId="5" fillId="2" borderId="1" xfId="1" applyNumberFormat="1" applyFont="1" applyFill="1" applyBorder="1" applyAlignment="1">
      <alignment horizontal="right" vertical="top"/>
    </xf>
    <xf numFmtId="0" fontId="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right"/>
    </xf>
    <xf numFmtId="164" fontId="2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center"/>
    </xf>
    <xf numFmtId="167" fontId="5" fillId="2" borderId="0" xfId="1" applyNumberFormat="1" applyFont="1" applyFill="1" applyAlignment="1">
      <alignment horizontal="right" vertical="top"/>
    </xf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horizontal="right"/>
    </xf>
    <xf numFmtId="164" fontId="11" fillId="0" borderId="3" xfId="0" applyNumberFormat="1" applyFont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2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165" fontId="9" fillId="0" borderId="0" xfId="0" applyNumberFormat="1" applyFont="1" applyAlignment="1">
      <alignment horizontal="center" vertical="top"/>
    </xf>
    <xf numFmtId="0" fontId="13" fillId="0" borderId="4" xfId="0" applyFont="1" applyBorder="1"/>
    <xf numFmtId="0" fontId="9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top"/>
    </xf>
    <xf numFmtId="0" fontId="14" fillId="0" borderId="6" xfId="0" applyFont="1" applyBorder="1" applyAlignment="1">
      <alignment horizontal="left"/>
    </xf>
    <xf numFmtId="0" fontId="5" fillId="3" borderId="4" xfId="0" applyFont="1" applyFill="1" applyBorder="1" applyAlignment="1">
      <alignment horizontal="right" vertical="top"/>
    </xf>
    <xf numFmtId="164" fontId="9" fillId="4" borderId="4" xfId="0" applyNumberFormat="1" applyFont="1" applyFill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4" fontId="9" fillId="0" borderId="4" xfId="0" applyNumberFormat="1" applyFont="1" applyBorder="1" applyAlignment="1">
      <alignment horizontal="center"/>
    </xf>
    <xf numFmtId="167" fontId="5" fillId="0" borderId="0" xfId="1" applyNumberFormat="1" applyFont="1" applyAlignment="1">
      <alignment horizontal="right" vertical="top"/>
    </xf>
    <xf numFmtId="165" fontId="9" fillId="0" borderId="0" xfId="0" applyNumberFormat="1" applyFont="1" applyAlignment="1">
      <alignment horizontal="center" vertical="center"/>
    </xf>
    <xf numFmtId="165" fontId="15" fillId="0" borderId="0" xfId="0" applyNumberFormat="1" applyFont="1" applyAlignment="1">
      <alignment horizontal="center"/>
    </xf>
    <xf numFmtId="0" fontId="16" fillId="0" borderId="4" xfId="2" applyFill="1" applyBorder="1"/>
    <xf numFmtId="164" fontId="9" fillId="4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right" vertical="top"/>
    </xf>
    <xf numFmtId="1" fontId="15" fillId="0" borderId="4" xfId="0" applyNumberFormat="1" applyFont="1" applyBorder="1" applyAlignment="1">
      <alignment horizontal="center"/>
    </xf>
    <xf numFmtId="0" fontId="17" fillId="0" borderId="0" xfId="0" applyFont="1"/>
    <xf numFmtId="0" fontId="7" fillId="0" borderId="0" xfId="0" applyFont="1"/>
    <xf numFmtId="0" fontId="1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top"/>
    </xf>
    <xf numFmtId="0" fontId="13" fillId="0" borderId="7" xfId="1" applyFont="1" applyBorder="1" applyAlignment="1">
      <alignment vertical="top" wrapText="1"/>
    </xf>
    <xf numFmtId="1" fontId="9" fillId="0" borderId="6" xfId="0" applyNumberFormat="1" applyFont="1" applyBorder="1" applyAlignment="1">
      <alignment horizontal="left"/>
    </xf>
    <xf numFmtId="0" fontId="18" fillId="0" borderId="0" xfId="0" applyFont="1"/>
    <xf numFmtId="0" fontId="19" fillId="3" borderId="4" xfId="0" applyFont="1" applyFill="1" applyBorder="1" applyAlignment="1">
      <alignment horizontal="right" vertical="top"/>
    </xf>
    <xf numFmtId="164" fontId="15" fillId="4" borderId="4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3" fontId="13" fillId="0" borderId="4" xfId="0" applyNumberFormat="1" applyFont="1" applyBorder="1"/>
    <xf numFmtId="0" fontId="14" fillId="0" borderId="4" xfId="0" applyFont="1" applyBorder="1" applyAlignment="1">
      <alignment horizontal="left"/>
    </xf>
    <xf numFmtId="0" fontId="0" fillId="4" borderId="0" xfId="0" applyFill="1" applyAlignment="1">
      <alignment horizontal="center" vertical="center"/>
    </xf>
    <xf numFmtId="0" fontId="13" fillId="4" borderId="4" xfId="0" applyFont="1" applyFill="1" applyBorder="1"/>
    <xf numFmtId="0" fontId="14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top"/>
    </xf>
    <xf numFmtId="0" fontId="14" fillId="4" borderId="6" xfId="0" applyFont="1" applyFill="1" applyBorder="1" applyAlignment="1">
      <alignment horizontal="left"/>
    </xf>
    <xf numFmtId="1" fontId="9" fillId="4" borderId="4" xfId="0" applyNumberFormat="1" applyFont="1" applyFill="1" applyBorder="1" applyAlignment="1">
      <alignment horizontal="center"/>
    </xf>
    <xf numFmtId="4" fontId="9" fillId="4" borderId="4" xfId="0" applyNumberFormat="1" applyFont="1" applyFill="1" applyBorder="1" applyAlignment="1">
      <alignment horizontal="center"/>
    </xf>
    <xf numFmtId="0" fontId="0" fillId="4" borderId="0" xfId="0" applyFill="1"/>
    <xf numFmtId="167" fontId="5" fillId="4" borderId="1" xfId="1" applyNumberFormat="1" applyFont="1" applyFill="1" applyBorder="1" applyAlignment="1">
      <alignment horizontal="right" vertical="top"/>
    </xf>
    <xf numFmtId="165" fontId="9" fillId="4" borderId="0" xfId="0" applyNumberFormat="1" applyFont="1" applyFill="1" applyAlignment="1">
      <alignment horizontal="center"/>
    </xf>
    <xf numFmtId="167" fontId="5" fillId="4" borderId="0" xfId="1" applyNumberFormat="1" applyFont="1" applyFill="1" applyAlignment="1">
      <alignment horizontal="right" vertical="top"/>
    </xf>
    <xf numFmtId="165" fontId="0" fillId="4" borderId="0" xfId="0" applyNumberFormat="1" applyFill="1"/>
    <xf numFmtId="0" fontId="13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5" fillId="3" borderId="4" xfId="0" applyFont="1" applyFill="1" applyBorder="1" applyAlignment="1">
      <alignment horizontal="right" vertical="center"/>
    </xf>
    <xf numFmtId="0" fontId="20" fillId="0" borderId="0" xfId="0" applyFont="1"/>
    <xf numFmtId="0" fontId="13" fillId="0" borderId="0" xfId="0" applyFont="1"/>
    <xf numFmtId="0" fontId="13" fillId="0" borderId="4" xfId="0" applyFont="1" applyBorder="1" applyAlignment="1">
      <alignment wrapText="1"/>
    </xf>
    <xf numFmtId="0" fontId="7" fillId="0" borderId="0" xfId="0" applyFont="1" applyAlignment="1">
      <alignment vertical="center"/>
    </xf>
    <xf numFmtId="166" fontId="5" fillId="2" borderId="1" xfId="1" applyNumberFormat="1" applyFont="1" applyFill="1" applyBorder="1" applyAlignment="1">
      <alignment horizontal="right" vertical="top"/>
    </xf>
    <xf numFmtId="0" fontId="16" fillId="0" borderId="0" xfId="2"/>
    <xf numFmtId="0" fontId="14" fillId="0" borderId="8" xfId="0" applyFont="1" applyBorder="1" applyAlignment="1">
      <alignment horizontal="left"/>
    </xf>
    <xf numFmtId="0" fontId="19" fillId="0" borderId="4" xfId="0" applyFont="1" applyBorder="1" applyAlignment="1">
      <alignment horizontal="right" vertical="top"/>
    </xf>
    <xf numFmtId="0" fontId="13" fillId="0" borderId="4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165" fontId="23" fillId="0" borderId="0" xfId="0" applyNumberFormat="1" applyFont="1" applyAlignment="1">
      <alignment horizontal="center"/>
    </xf>
    <xf numFmtId="0" fontId="13" fillId="0" borderId="7" xfId="1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right" vertical="top" wrapText="1"/>
    </xf>
    <xf numFmtId="1" fontId="9" fillId="0" borderId="4" xfId="0" applyNumberFormat="1" applyFont="1" applyBorder="1" applyAlignment="1">
      <alignment horizontal="center" vertical="center"/>
    </xf>
    <xf numFmtId="0" fontId="25" fillId="0" borderId="0" xfId="0" applyFont="1"/>
    <xf numFmtId="0" fontId="9" fillId="0" borderId="6" xfId="0" applyFont="1" applyBorder="1" applyAlignment="1">
      <alignment horizontal="left"/>
    </xf>
    <xf numFmtId="0" fontId="0" fillId="0" borderId="0" xfId="0" applyAlignment="1">
      <alignment horizontal="center" vertical="center" wrapText="1"/>
    </xf>
    <xf numFmtId="0" fontId="26" fillId="0" borderId="0" xfId="0" applyFont="1"/>
    <xf numFmtId="0" fontId="14" fillId="0" borderId="6" xfId="0" applyFont="1" applyBorder="1" applyAlignment="1">
      <alignment horizontal="left" vertical="center"/>
    </xf>
    <xf numFmtId="0" fontId="5" fillId="3" borderId="4" xfId="0" applyFont="1" applyFill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22" fillId="0" borderId="4" xfId="0" applyFont="1" applyBorder="1"/>
    <xf numFmtId="0" fontId="13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left"/>
    </xf>
    <xf numFmtId="0" fontId="28" fillId="0" borderId="4" xfId="2" applyFont="1" applyBorder="1"/>
    <xf numFmtId="0" fontId="29" fillId="0" borderId="4" xfId="0" applyFont="1" applyBorder="1"/>
    <xf numFmtId="0" fontId="13" fillId="0" borderId="0" xfId="1" applyFont="1" applyAlignment="1">
      <alignment vertical="top" wrapText="1"/>
    </xf>
    <xf numFmtId="0" fontId="30" fillId="0" borderId="0" xfId="0" applyFont="1"/>
    <xf numFmtId="166" fontId="2" fillId="0" borderId="0" xfId="0" applyNumberFormat="1" applyFont="1"/>
    <xf numFmtId="0" fontId="2" fillId="0" borderId="0" xfId="0" applyFont="1" applyAlignment="1">
      <alignment horizontal="center"/>
    </xf>
    <xf numFmtId="0" fontId="22" fillId="0" borderId="4" xfId="0" applyFont="1" applyBorder="1" applyAlignment="1">
      <alignment wrapText="1"/>
    </xf>
    <xf numFmtId="0" fontId="19" fillId="3" borderId="4" xfId="0" applyFont="1" applyFill="1" applyBorder="1" applyAlignment="1">
      <alignment horizontal="right" vertical="center"/>
    </xf>
    <xf numFmtId="164" fontId="15" fillId="4" borderId="4" xfId="0" applyNumberFormat="1" applyFont="1" applyFill="1" applyBorder="1" applyAlignment="1">
      <alignment horizontal="center" vertical="center"/>
    </xf>
    <xf numFmtId="4" fontId="15" fillId="0" borderId="4" xfId="0" applyNumberFormat="1" applyFont="1" applyBorder="1" applyAlignment="1">
      <alignment horizontal="center" vertical="center"/>
    </xf>
    <xf numFmtId="0" fontId="5" fillId="3" borderId="6" xfId="0" applyFont="1" applyFill="1" applyBorder="1" applyAlignment="1">
      <alignment horizontal="right" vertical="top"/>
    </xf>
    <xf numFmtId="164" fontId="9" fillId="4" borderId="6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 textRotation="255"/>
    </xf>
    <xf numFmtId="0" fontId="5" fillId="0" borderId="8" xfId="0" applyFont="1" applyBorder="1" applyAlignment="1">
      <alignment horizontal="left" vertical="top"/>
    </xf>
    <xf numFmtId="0" fontId="5" fillId="3" borderId="8" xfId="0" applyFont="1" applyFill="1" applyBorder="1" applyAlignment="1">
      <alignment horizontal="right" vertical="top"/>
    </xf>
    <xf numFmtId="164" fontId="9" fillId="4" borderId="8" xfId="0" applyNumberFormat="1" applyFont="1" applyFill="1" applyBorder="1" applyAlignment="1">
      <alignment horizontal="center"/>
    </xf>
    <xf numFmtId="1" fontId="9" fillId="0" borderId="8" xfId="0" applyNumberFormat="1" applyFont="1" applyBorder="1" applyAlignment="1">
      <alignment horizontal="center"/>
    </xf>
    <xf numFmtId="166" fontId="31" fillId="0" borderId="0" xfId="0" applyNumberFormat="1" applyFont="1"/>
    <xf numFmtId="0" fontId="14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textRotation="255"/>
    </xf>
    <xf numFmtId="0" fontId="30" fillId="0" borderId="0" xfId="0" applyFont="1" applyAlignment="1">
      <alignment horizontal="left"/>
    </xf>
    <xf numFmtId="0" fontId="4" fillId="3" borderId="6" xfId="0" applyFont="1" applyFill="1" applyBorder="1" applyAlignment="1">
      <alignment horizontal="right" vertical="top"/>
    </xf>
    <xf numFmtId="0" fontId="5" fillId="0" borderId="8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right" vertical="center"/>
    </xf>
    <xf numFmtId="164" fontId="9" fillId="4" borderId="8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top"/>
    </xf>
    <xf numFmtId="168" fontId="0" fillId="0" borderId="0" xfId="0" applyNumberFormat="1" applyAlignment="1">
      <alignment horizontal="center" vertical="center" textRotation="255"/>
    </xf>
    <xf numFmtId="0" fontId="13" fillId="0" borderId="8" xfId="0" applyFont="1" applyBorder="1"/>
    <xf numFmtId="0" fontId="32" fillId="0" borderId="0" xfId="0" applyFont="1" applyAlignment="1">
      <alignment vertical="center"/>
    </xf>
    <xf numFmtId="0" fontId="4" fillId="0" borderId="4" xfId="1" applyBorder="1" applyAlignment="1">
      <alignment vertical="top" wrapText="1"/>
    </xf>
    <xf numFmtId="1" fontId="14" fillId="0" borderId="4" xfId="0" applyNumberFormat="1" applyFont="1" applyBorder="1" applyAlignment="1">
      <alignment horizontal="left"/>
    </xf>
    <xf numFmtId="166" fontId="5" fillId="0" borderId="0" xfId="1" applyNumberFormat="1" applyFont="1" applyAlignment="1">
      <alignment horizontal="right" vertical="top"/>
    </xf>
    <xf numFmtId="0" fontId="33" fillId="0" borderId="4" xfId="0" applyFont="1" applyBorder="1"/>
    <xf numFmtId="0" fontId="16" fillId="0" borderId="6" xfId="2" applyBorder="1"/>
    <xf numFmtId="0" fontId="2" fillId="0" borderId="6" xfId="0" applyFont="1" applyBorder="1"/>
    <xf numFmtId="0" fontId="13" fillId="0" borderId="6" xfId="0" applyFont="1" applyBorder="1"/>
    <xf numFmtId="1" fontId="9" fillId="0" borderId="6" xfId="0" applyNumberFormat="1" applyFont="1" applyBorder="1" applyAlignment="1">
      <alignment horizontal="center"/>
    </xf>
    <xf numFmtId="0" fontId="16" fillId="0" borderId="8" xfId="2" applyBorder="1"/>
    <xf numFmtId="0" fontId="2" fillId="0" borderId="8" xfId="0" applyFont="1" applyBorder="1"/>
    <xf numFmtId="0" fontId="5" fillId="4" borderId="8" xfId="0" applyFont="1" applyFill="1" applyBorder="1" applyAlignment="1">
      <alignment horizontal="left" vertical="center"/>
    </xf>
    <xf numFmtId="1" fontId="14" fillId="4" borderId="8" xfId="0" applyNumberFormat="1" applyFont="1" applyFill="1" applyBorder="1" applyAlignment="1">
      <alignment horizontal="left"/>
    </xf>
    <xf numFmtId="0" fontId="2" fillId="0" borderId="8" xfId="0" quotePrefix="1" applyFont="1" applyBorder="1"/>
    <xf numFmtId="0" fontId="13" fillId="4" borderId="8" xfId="0" applyFont="1" applyFill="1" applyBorder="1"/>
    <xf numFmtId="0" fontId="4" fillId="4" borderId="8" xfId="0" applyFont="1" applyFill="1" applyBorder="1" applyAlignment="1">
      <alignment horizontal="left" vertical="center"/>
    </xf>
    <xf numFmtId="1" fontId="9" fillId="4" borderId="8" xfId="0" applyNumberFormat="1" applyFont="1" applyFill="1" applyBorder="1" applyAlignment="1">
      <alignment horizontal="left"/>
    </xf>
    <xf numFmtId="0" fontId="4" fillId="3" borderId="8" xfId="0" applyFont="1" applyFill="1" applyBorder="1" applyAlignment="1">
      <alignment horizontal="right" vertical="top"/>
    </xf>
    <xf numFmtId="1" fontId="9" fillId="4" borderId="8" xfId="0" applyNumberFormat="1" applyFont="1" applyFill="1" applyBorder="1" applyAlignment="1">
      <alignment horizontal="center"/>
    </xf>
    <xf numFmtId="0" fontId="16" fillId="4" borderId="8" xfId="2" applyFill="1" applyBorder="1"/>
    <xf numFmtId="0" fontId="9" fillId="0" borderId="8" xfId="0" quotePrefix="1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" fontId="9" fillId="0" borderId="4" xfId="0" applyNumberFormat="1" applyFont="1" applyBorder="1" applyAlignment="1">
      <alignment horizontal="left" vertical="center"/>
    </xf>
    <xf numFmtId="0" fontId="4" fillId="3" borderId="4" xfId="0" applyFont="1" applyFill="1" applyBorder="1" applyAlignment="1">
      <alignment horizontal="right" vertical="center"/>
    </xf>
    <xf numFmtId="0" fontId="16" fillId="0" borderId="9" xfId="2" applyFill="1" applyBorder="1"/>
    <xf numFmtId="0" fontId="13" fillId="0" borderId="9" xfId="0" applyFont="1" applyBorder="1"/>
    <xf numFmtId="1" fontId="9" fillId="0" borderId="9" xfId="0" applyNumberFormat="1" applyFont="1" applyBorder="1" applyAlignment="1">
      <alignment horizontal="left" vertical="center"/>
    </xf>
    <xf numFmtId="0" fontId="4" fillId="3" borderId="9" xfId="0" applyFont="1" applyFill="1" applyBorder="1" applyAlignment="1">
      <alignment horizontal="right" vertical="center"/>
    </xf>
    <xf numFmtId="0" fontId="13" fillId="0" borderId="10" xfId="0" applyFont="1" applyBorder="1"/>
    <xf numFmtId="0" fontId="14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top"/>
    </xf>
    <xf numFmtId="0" fontId="14" fillId="0" borderId="10" xfId="0" applyFont="1" applyBorder="1" applyAlignment="1">
      <alignment horizontal="left"/>
    </xf>
    <xf numFmtId="0" fontId="4" fillId="3" borderId="10" xfId="0" applyFont="1" applyFill="1" applyBorder="1" applyAlignment="1">
      <alignment horizontal="right" vertical="top"/>
    </xf>
    <xf numFmtId="164" fontId="9" fillId="4" borderId="12" xfId="0" applyNumberFormat="1" applyFont="1" applyFill="1" applyBorder="1" applyAlignment="1">
      <alignment horizontal="center"/>
    </xf>
    <xf numFmtId="1" fontId="9" fillId="0" borderId="12" xfId="0" applyNumberFormat="1" applyFont="1" applyBorder="1" applyAlignment="1">
      <alignment horizontal="center"/>
    </xf>
    <xf numFmtId="4" fontId="9" fillId="0" borderId="12" xfId="0" applyNumberFormat="1" applyFont="1" applyBorder="1" applyAlignment="1">
      <alignment horizontal="center"/>
    </xf>
    <xf numFmtId="166" fontId="0" fillId="0" borderId="13" xfId="0" applyNumberFormat="1" applyBorder="1"/>
    <xf numFmtId="166" fontId="34" fillId="5" borderId="14" xfId="1" applyNumberFormat="1" applyFont="1" applyFill="1" applyBorder="1" applyAlignment="1">
      <alignment horizontal="right" vertical="top"/>
    </xf>
    <xf numFmtId="165" fontId="0" fillId="6" borderId="0" xfId="0" applyNumberFormat="1" applyFill="1"/>
    <xf numFmtId="0" fontId="13" fillId="0" borderId="11" xfId="0" applyFont="1" applyBorder="1"/>
    <xf numFmtId="0" fontId="4" fillId="0" borderId="11" xfId="0" applyFont="1" applyBorder="1" applyAlignment="1">
      <alignment horizontal="left" vertical="top"/>
    </xf>
    <xf numFmtId="0" fontId="9" fillId="0" borderId="9" xfId="0" applyFont="1" applyBorder="1" applyAlignment="1">
      <alignment horizontal="left"/>
    </xf>
    <xf numFmtId="0" fontId="4" fillId="3" borderId="11" xfId="0" applyFont="1" applyFill="1" applyBorder="1" applyAlignment="1">
      <alignment horizontal="right" vertical="top"/>
    </xf>
    <xf numFmtId="164" fontId="9" fillId="3" borderId="11" xfId="0" applyNumberFormat="1" applyFont="1" applyFill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4" fontId="9" fillId="0" borderId="11" xfId="0" applyNumberFormat="1" applyFont="1" applyBorder="1" applyAlignment="1">
      <alignment horizontal="center"/>
    </xf>
    <xf numFmtId="164" fontId="9" fillId="3" borderId="4" xfId="0" applyNumberFormat="1" applyFont="1" applyFill="1" applyBorder="1" applyAlignment="1">
      <alignment horizontal="center"/>
    </xf>
    <xf numFmtId="0" fontId="13" fillId="0" borderId="8" xfId="0" applyFont="1" applyBorder="1" applyAlignment="1">
      <alignment vertical="center"/>
    </xf>
    <xf numFmtId="0" fontId="9" fillId="0" borderId="8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right" vertical="center" wrapText="1"/>
    </xf>
    <xf numFmtId="164" fontId="9" fillId="3" borderId="4" xfId="0" applyNumberFormat="1" applyFont="1" applyFill="1" applyBorder="1" applyAlignment="1">
      <alignment horizontal="center" vertical="center"/>
    </xf>
    <xf numFmtId="0" fontId="22" fillId="0" borderId="8" xfId="0" applyFont="1" applyBorder="1"/>
    <xf numFmtId="0" fontId="2" fillId="4" borderId="0" xfId="0" applyFont="1" applyFill="1" applyAlignment="1">
      <alignment horizontal="center" vertical="center"/>
    </xf>
    <xf numFmtId="0" fontId="13" fillId="4" borderId="12" xfId="0" applyFont="1" applyFill="1" applyBorder="1"/>
    <xf numFmtId="0" fontId="14" fillId="4" borderId="1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left" vertical="center"/>
    </xf>
    <xf numFmtId="1" fontId="9" fillId="4" borderId="12" xfId="0" applyNumberFormat="1" applyFont="1" applyFill="1" applyBorder="1" applyAlignment="1">
      <alignment horizontal="left"/>
    </xf>
    <xf numFmtId="0" fontId="4" fillId="3" borderId="12" xfId="0" applyFont="1" applyFill="1" applyBorder="1" applyAlignment="1">
      <alignment horizontal="right" vertical="top"/>
    </xf>
    <xf numFmtId="164" fontId="9" fillId="3" borderId="12" xfId="0" applyNumberFormat="1" applyFont="1" applyFill="1" applyBorder="1" applyAlignment="1">
      <alignment horizontal="center"/>
    </xf>
    <xf numFmtId="1" fontId="9" fillId="4" borderId="12" xfId="0" applyNumberFormat="1" applyFont="1" applyFill="1" applyBorder="1" applyAlignment="1">
      <alignment horizontal="center"/>
    </xf>
    <xf numFmtId="0" fontId="21" fillId="0" borderId="11" xfId="0" applyFont="1" applyBorder="1"/>
    <xf numFmtId="0" fontId="35" fillId="0" borderId="11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35" fillId="3" borderId="11" xfId="0" applyFont="1" applyFill="1" applyBorder="1" applyAlignment="1">
      <alignment horizontal="right" vertical="center"/>
    </xf>
    <xf numFmtId="164" fontId="23" fillId="0" borderId="11" xfId="0" applyNumberFormat="1" applyFont="1" applyBorder="1" applyAlignment="1">
      <alignment horizontal="center" vertical="center"/>
    </xf>
    <xf numFmtId="2" fontId="23" fillId="0" borderId="11" xfId="0" applyNumberFormat="1" applyFont="1" applyBorder="1" applyAlignment="1">
      <alignment horizontal="center"/>
    </xf>
    <xf numFmtId="0" fontId="36" fillId="0" borderId="0" xfId="0" applyFont="1" applyAlignment="1">
      <alignment vertical="center"/>
    </xf>
    <xf numFmtId="164" fontId="9" fillId="0" borderId="11" xfId="0" applyNumberFormat="1" applyFont="1" applyBorder="1" applyAlignment="1">
      <alignment horizontal="center" vertical="center"/>
    </xf>
    <xf numFmtId="2" fontId="9" fillId="0" borderId="4" xfId="0" applyNumberFormat="1" applyFont="1" applyBorder="1" applyAlignment="1">
      <alignment horizontal="center"/>
    </xf>
    <xf numFmtId="164" fontId="9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4" fillId="0" borderId="11" xfId="0" applyFont="1" applyBorder="1" applyAlignment="1">
      <alignment horizontal="left" vertical="center"/>
    </xf>
    <xf numFmtId="0" fontId="37" fillId="0" borderId="0" xfId="0" applyFont="1"/>
    <xf numFmtId="0" fontId="14" fillId="0" borderId="4" xfId="0" applyFont="1" applyBorder="1" applyAlignment="1">
      <alignment wrapText="1"/>
    </xf>
    <xf numFmtId="0" fontId="1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5" fillId="3" borderId="12" xfId="0" applyFont="1" applyFill="1" applyBorder="1" applyAlignment="1">
      <alignment horizontal="right" vertical="center"/>
    </xf>
    <xf numFmtId="164" fontId="9" fillId="0" borderId="12" xfId="0" applyNumberFormat="1" applyFont="1" applyBorder="1" applyAlignment="1">
      <alignment horizontal="center" vertical="center"/>
    </xf>
    <xf numFmtId="166" fontId="0" fillId="4" borderId="13" xfId="0" applyNumberFormat="1" applyFill="1" applyBorder="1" applyAlignment="1">
      <alignment vertical="center"/>
    </xf>
    <xf numFmtId="166" fontId="0" fillId="4" borderId="0" xfId="0" applyNumberFormat="1" applyFill="1" applyAlignment="1">
      <alignment vertical="center"/>
    </xf>
    <xf numFmtId="166" fontId="0" fillId="0" borderId="0" xfId="0" applyNumberFormat="1" applyAlignment="1">
      <alignment vertical="center"/>
    </xf>
    <xf numFmtId="0" fontId="14" fillId="0" borderId="11" xfId="0" applyFont="1" applyBorder="1" applyAlignment="1">
      <alignment horizontal="left" vertical="center"/>
    </xf>
    <xf numFmtId="0" fontId="38" fillId="0" borderId="11" xfId="0" applyFont="1" applyBorder="1" applyAlignment="1">
      <alignment horizontal="right"/>
    </xf>
    <xf numFmtId="0" fontId="34" fillId="0" borderId="4" xfId="0" applyFont="1" applyBorder="1" applyAlignment="1">
      <alignment horizontal="right" vertical="center"/>
    </xf>
    <xf numFmtId="164" fontId="9" fillId="0" borderId="4" xfId="0" applyNumberFormat="1" applyFont="1" applyBorder="1" applyAlignment="1">
      <alignment horizontal="right" vertical="center"/>
    </xf>
    <xf numFmtId="166" fontId="36" fillId="7" borderId="0" xfId="0" applyNumberFormat="1" applyFont="1" applyFill="1" applyAlignment="1">
      <alignment vertical="center"/>
    </xf>
    <xf numFmtId="166" fontId="0" fillId="6" borderId="0" xfId="0" applyNumberFormat="1" applyFill="1" applyAlignment="1">
      <alignment vertical="center"/>
    </xf>
    <xf numFmtId="166" fontId="0" fillId="7" borderId="0" xfId="0" applyNumberFormat="1" applyFill="1"/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64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2" fillId="0" borderId="0" xfId="0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5" borderId="0" xfId="0" applyNumberFormat="1" applyFont="1" applyFill="1"/>
    <xf numFmtId="165" fontId="6" fillId="0" borderId="0" xfId="0" applyNumberFormat="1" applyFont="1"/>
    <xf numFmtId="0" fontId="39" fillId="0" borderId="0" xfId="0" applyFont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right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0" fontId="2" fillId="0" borderId="4" xfId="0" applyFont="1" applyBorder="1"/>
    <xf numFmtId="0" fontId="14" fillId="8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left" vertical="top"/>
    </xf>
    <xf numFmtId="0" fontId="14" fillId="8" borderId="8" xfId="0" applyFont="1" applyFill="1" applyBorder="1" applyAlignment="1">
      <alignment horizontal="left"/>
    </xf>
    <xf numFmtId="0" fontId="5" fillId="8" borderId="4" xfId="0" applyFont="1" applyFill="1" applyBorder="1" applyAlignment="1">
      <alignment horizontal="right" vertical="top"/>
    </xf>
    <xf numFmtId="164" fontId="9" fillId="8" borderId="4" xfId="0" applyNumberFormat="1" applyFont="1" applyFill="1" applyBorder="1" applyAlignment="1">
      <alignment horizontal="center"/>
    </xf>
    <xf numFmtId="1" fontId="9" fillId="8" borderId="4" xfId="0" applyNumberFormat="1" applyFont="1" applyFill="1" applyBorder="1" applyAlignment="1">
      <alignment horizontal="center"/>
    </xf>
    <xf numFmtId="4" fontId="9" fillId="8" borderId="4" xfId="0" applyNumberFormat="1" applyFont="1" applyFill="1" applyBorder="1" applyAlignment="1">
      <alignment horizontal="center"/>
    </xf>
    <xf numFmtId="0" fontId="14" fillId="8" borderId="6" xfId="0" applyFont="1" applyFill="1" applyBorder="1" applyAlignment="1">
      <alignment horizontal="left"/>
    </xf>
    <xf numFmtId="0" fontId="24" fillId="0" borderId="4" xfId="0" applyFont="1" applyBorder="1" applyAlignment="1">
      <alignment vertical="center"/>
    </xf>
    <xf numFmtId="0" fontId="4" fillId="8" borderId="4" xfId="0" applyFont="1" applyFill="1" applyBorder="1" applyAlignment="1">
      <alignment horizontal="left" vertical="center"/>
    </xf>
    <xf numFmtId="0" fontId="9" fillId="8" borderId="6" xfId="0" applyFont="1" applyFill="1" applyBorder="1" applyAlignment="1">
      <alignment horizontal="left" vertical="center"/>
    </xf>
    <xf numFmtId="0" fontId="4" fillId="8" borderId="4" xfId="0" applyFont="1" applyFill="1" applyBorder="1" applyAlignment="1">
      <alignment horizontal="right" vertical="top" wrapText="1"/>
    </xf>
    <xf numFmtId="164" fontId="9" fillId="8" borderId="4" xfId="0" applyNumberFormat="1" applyFont="1" applyFill="1" applyBorder="1" applyAlignment="1">
      <alignment horizontal="center" vertical="center"/>
    </xf>
    <xf numFmtId="1" fontId="9" fillId="8" borderId="4" xfId="0" applyNumberFormat="1" applyFont="1" applyFill="1" applyBorder="1" applyAlignment="1">
      <alignment horizontal="center" vertical="center"/>
    </xf>
    <xf numFmtId="4" fontId="9" fillId="8" borderId="4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3" fillId="8" borderId="4" xfId="0" applyFont="1" applyFill="1" applyBorder="1"/>
    <xf numFmtId="0" fontId="13" fillId="8" borderId="4" xfId="0" applyFont="1" applyFill="1" applyBorder="1" applyAlignment="1">
      <alignment wrapText="1"/>
    </xf>
    <xf numFmtId="0" fontId="13" fillId="8" borderId="4" xfId="0" applyFont="1" applyFill="1" applyBorder="1" applyAlignment="1">
      <alignment horizontal="left" vertical="top"/>
    </xf>
    <xf numFmtId="0" fontId="9" fillId="8" borderId="6" xfId="0" applyFont="1" applyFill="1" applyBorder="1" applyAlignment="1">
      <alignment horizontal="left"/>
    </xf>
    <xf numFmtId="0" fontId="13" fillId="8" borderId="4" xfId="0" applyFont="1" applyFill="1" applyBorder="1" applyAlignment="1">
      <alignment horizontal="right" vertical="top"/>
    </xf>
    <xf numFmtId="0" fontId="13" fillId="8" borderId="7" xfId="1" applyFont="1" applyFill="1" applyBorder="1" applyAlignment="1">
      <alignment vertical="top" wrapText="1"/>
    </xf>
    <xf numFmtId="0" fontId="14" fillId="8" borderId="4" xfId="0" applyFont="1" applyFill="1" applyBorder="1" applyAlignment="1">
      <alignment horizontal="left"/>
    </xf>
    <xf numFmtId="0" fontId="4" fillId="0" borderId="0" xfId="1"/>
    <xf numFmtId="0" fontId="4" fillId="8" borderId="4" xfId="0" applyFont="1" applyFill="1" applyBorder="1" applyAlignment="1">
      <alignment horizontal="left" vertical="top"/>
    </xf>
    <xf numFmtId="0" fontId="4" fillId="8" borderId="4" xfId="0" applyFont="1" applyFill="1" applyBorder="1" applyAlignment="1">
      <alignment horizontal="right" vertical="top"/>
    </xf>
    <xf numFmtId="0" fontId="5" fillId="8" borderId="8" xfId="0" applyFont="1" applyFill="1" applyBorder="1" applyAlignment="1">
      <alignment horizontal="left" vertical="top"/>
    </xf>
    <xf numFmtId="0" fontId="5" fillId="8" borderId="8" xfId="0" applyFont="1" applyFill="1" applyBorder="1" applyAlignment="1">
      <alignment horizontal="right" vertical="top"/>
    </xf>
    <xf numFmtId="164" fontId="9" fillId="8" borderId="8" xfId="0" applyNumberFormat="1" applyFont="1" applyFill="1" applyBorder="1" applyAlignment="1">
      <alignment horizontal="center"/>
    </xf>
    <xf numFmtId="0" fontId="40" fillId="4" borderId="0" xfId="0" applyFont="1" applyFill="1"/>
    <xf numFmtId="0" fontId="4" fillId="8" borderId="8" xfId="0" applyFont="1" applyFill="1" applyBorder="1" applyAlignment="1">
      <alignment horizontal="left" vertical="center"/>
    </xf>
    <xf numFmtId="1" fontId="9" fillId="8" borderId="8" xfId="0" applyNumberFormat="1" applyFont="1" applyFill="1" applyBorder="1" applyAlignment="1">
      <alignment horizontal="left"/>
    </xf>
    <xf numFmtId="0" fontId="4" fillId="8" borderId="8" xfId="0" applyFont="1" applyFill="1" applyBorder="1" applyAlignment="1">
      <alignment horizontal="right" vertical="top"/>
    </xf>
    <xf numFmtId="1" fontId="9" fillId="8" borderId="8" xfId="0" applyNumberFormat="1" applyFont="1" applyFill="1" applyBorder="1" applyAlignment="1">
      <alignment horizontal="center"/>
    </xf>
    <xf numFmtId="0" fontId="41" fillId="0" borderId="4" xfId="0" applyFont="1" applyBorder="1"/>
    <xf numFmtId="0" fontId="41" fillId="0" borderId="5" xfId="0" applyFont="1" applyBorder="1"/>
    <xf numFmtId="0" fontId="41" fillId="0" borderId="0" xfId="0" applyFont="1"/>
    <xf numFmtId="0" fontId="41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Обычный_МАКЕТ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k-node2\&#1086;&#1088;&#1072;\&#1056;&#1040;&#1057;&#1055;&#1056;&#1045;&#1044;&#1045;&#1051;&#1045;&#1053;&#1048;&#1045;%20&#1069;&#1069;\2026\06.%20&#1048;&#1102;&#1085;&#1100;\&#1056;&#1072;&#1089;&#1087;&#1088;&#1077;&#1076;&#1077;&#1083;&#1077;&#1085;&#1080;&#1077;%20&#1069;&#1069;%20&#1080;&#1102;&#1085;&#1100;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АКЕТ"/>
      <sheetName val="Ведомость"/>
      <sheetName val="Потребители"/>
      <sheetName val="КТ по ТЭЦ"/>
      <sheetName val="Итог"/>
      <sheetName val="РП"/>
      <sheetName val="Баланс"/>
      <sheetName val="ПТЗ "/>
      <sheetName val="КЭМ"/>
      <sheetName val="Петросталь"/>
      <sheetName val="ЛСС"/>
      <sheetName val="Универсалмаш"/>
      <sheetName val="КТ"/>
      <sheetName val="ФЗИ и ЗДУ"/>
      <sheetName val="ФЗИ_Арендаторы"/>
      <sheetName val="Остатки по КТП на КЗ"/>
      <sheetName val="в КЗ"/>
      <sheetName val="архив"/>
    </sheetNames>
    <sheetDataSet>
      <sheetData sheetId="0"/>
      <sheetData sheetId="1">
        <row r="15">
          <cell r="D15">
            <v>8940</v>
          </cell>
        </row>
        <row r="16">
          <cell r="D16">
            <v>8940</v>
          </cell>
        </row>
        <row r="17">
          <cell r="D17">
            <v>8940</v>
          </cell>
        </row>
        <row r="19">
          <cell r="D19">
            <v>8940</v>
          </cell>
        </row>
        <row r="20">
          <cell r="D20">
            <v>8310</v>
          </cell>
        </row>
        <row r="21">
          <cell r="D21">
            <v>8310</v>
          </cell>
        </row>
        <row r="22">
          <cell r="D22">
            <v>8940</v>
          </cell>
        </row>
        <row r="23">
          <cell r="D23">
            <v>8940</v>
          </cell>
        </row>
        <row r="42">
          <cell r="D42">
            <v>10470</v>
          </cell>
        </row>
        <row r="43">
          <cell r="D43">
            <v>10470</v>
          </cell>
        </row>
        <row r="44">
          <cell r="D44">
            <v>10470</v>
          </cell>
        </row>
        <row r="45">
          <cell r="D45">
            <v>10470</v>
          </cell>
        </row>
        <row r="46">
          <cell r="D46">
            <v>10470</v>
          </cell>
        </row>
        <row r="47">
          <cell r="D47">
            <v>10470</v>
          </cell>
        </row>
        <row r="48">
          <cell r="D48">
            <v>10470</v>
          </cell>
        </row>
        <row r="49">
          <cell r="D49">
            <v>10470</v>
          </cell>
        </row>
        <row r="50">
          <cell r="D50">
            <v>10470</v>
          </cell>
        </row>
        <row r="51">
          <cell r="D51">
            <v>10470</v>
          </cell>
        </row>
        <row r="52">
          <cell r="D52">
            <v>10470</v>
          </cell>
        </row>
        <row r="53">
          <cell r="D53">
            <v>10470</v>
          </cell>
        </row>
        <row r="54">
          <cell r="D54">
            <v>10470</v>
          </cell>
        </row>
        <row r="55">
          <cell r="D55">
            <v>10470</v>
          </cell>
        </row>
        <row r="56">
          <cell r="D56">
            <v>10470</v>
          </cell>
        </row>
        <row r="57">
          <cell r="D57">
            <v>10470</v>
          </cell>
        </row>
        <row r="58">
          <cell r="D58">
            <v>10470</v>
          </cell>
        </row>
        <row r="59">
          <cell r="D59">
            <v>10470</v>
          </cell>
        </row>
        <row r="60">
          <cell r="D60">
            <v>10470</v>
          </cell>
        </row>
        <row r="62">
          <cell r="D62">
            <v>10470</v>
          </cell>
        </row>
        <row r="63">
          <cell r="D63">
            <v>10470</v>
          </cell>
        </row>
        <row r="64">
          <cell r="D64">
            <v>10470</v>
          </cell>
        </row>
        <row r="65">
          <cell r="D65">
            <v>10470</v>
          </cell>
        </row>
        <row r="66">
          <cell r="D66">
            <v>10470</v>
          </cell>
        </row>
        <row r="67">
          <cell r="D67">
            <v>10470</v>
          </cell>
        </row>
        <row r="68">
          <cell r="D68">
            <v>10470</v>
          </cell>
        </row>
        <row r="69">
          <cell r="D69">
            <v>10470</v>
          </cell>
        </row>
        <row r="70">
          <cell r="D70">
            <v>10470</v>
          </cell>
        </row>
        <row r="71">
          <cell r="D71">
            <v>10470</v>
          </cell>
        </row>
        <row r="72">
          <cell r="D72">
            <v>10470</v>
          </cell>
        </row>
        <row r="73">
          <cell r="D73">
            <v>10470</v>
          </cell>
        </row>
        <row r="74">
          <cell r="D74">
            <v>10470</v>
          </cell>
        </row>
        <row r="75">
          <cell r="D75">
            <v>10470</v>
          </cell>
        </row>
        <row r="76">
          <cell r="D76">
            <v>10470</v>
          </cell>
        </row>
        <row r="77">
          <cell r="D77">
            <v>10470</v>
          </cell>
        </row>
        <row r="78">
          <cell r="D78">
            <v>10470</v>
          </cell>
        </row>
        <row r="79">
          <cell r="D79">
            <v>10470</v>
          </cell>
        </row>
        <row r="80">
          <cell r="D80">
            <v>10470</v>
          </cell>
        </row>
        <row r="81">
          <cell r="D81">
            <v>10470</v>
          </cell>
        </row>
        <row r="82">
          <cell r="D82">
            <v>10470</v>
          </cell>
        </row>
        <row r="83">
          <cell r="D83">
            <v>10470</v>
          </cell>
        </row>
        <row r="84">
          <cell r="D84">
            <v>10470</v>
          </cell>
        </row>
        <row r="85">
          <cell r="D85">
            <v>10470</v>
          </cell>
        </row>
        <row r="86">
          <cell r="D86">
            <v>10470</v>
          </cell>
        </row>
        <row r="87">
          <cell r="D87">
            <v>10470</v>
          </cell>
        </row>
        <row r="88">
          <cell r="D88">
            <v>10470</v>
          </cell>
        </row>
        <row r="89">
          <cell r="D89">
            <v>10470</v>
          </cell>
        </row>
        <row r="90">
          <cell r="D90">
            <v>10470</v>
          </cell>
        </row>
        <row r="91">
          <cell r="D91">
            <v>8940</v>
          </cell>
        </row>
        <row r="92">
          <cell r="D92">
            <v>10470</v>
          </cell>
        </row>
        <row r="93">
          <cell r="D93">
            <v>10470</v>
          </cell>
        </row>
        <row r="94">
          <cell r="D94">
            <v>10470</v>
          </cell>
        </row>
        <row r="95">
          <cell r="D95">
            <v>10470</v>
          </cell>
        </row>
        <row r="96">
          <cell r="D96">
            <v>10470</v>
          </cell>
        </row>
        <row r="97">
          <cell r="D97">
            <v>10470</v>
          </cell>
        </row>
        <row r="98">
          <cell r="D98">
            <v>10470</v>
          </cell>
        </row>
        <row r="99">
          <cell r="D99">
            <v>10470</v>
          </cell>
        </row>
        <row r="100">
          <cell r="D100">
            <v>10470</v>
          </cell>
        </row>
        <row r="101">
          <cell r="D101">
            <v>10470</v>
          </cell>
        </row>
        <row r="102">
          <cell r="D102">
            <v>6180</v>
          </cell>
        </row>
        <row r="103">
          <cell r="D103">
            <v>10470</v>
          </cell>
        </row>
        <row r="104">
          <cell r="D104">
            <v>10470</v>
          </cell>
        </row>
        <row r="105">
          <cell r="D105">
            <v>10470</v>
          </cell>
        </row>
        <row r="106">
          <cell r="D106">
            <v>10470</v>
          </cell>
        </row>
        <row r="107">
          <cell r="D107">
            <v>10470</v>
          </cell>
        </row>
        <row r="108">
          <cell r="D108">
            <v>10470</v>
          </cell>
        </row>
        <row r="109">
          <cell r="D109">
            <v>10470</v>
          </cell>
        </row>
        <row r="110">
          <cell r="D110">
            <v>10470</v>
          </cell>
        </row>
        <row r="111">
          <cell r="D111">
            <v>10470</v>
          </cell>
        </row>
        <row r="112">
          <cell r="D112">
            <v>10470</v>
          </cell>
        </row>
        <row r="113">
          <cell r="D113">
            <v>10470</v>
          </cell>
        </row>
        <row r="114">
          <cell r="D114">
            <v>10470</v>
          </cell>
        </row>
        <row r="115">
          <cell r="D115">
            <v>10470</v>
          </cell>
        </row>
        <row r="116">
          <cell r="D116">
            <v>10470</v>
          </cell>
        </row>
        <row r="117">
          <cell r="D117">
            <v>10470</v>
          </cell>
        </row>
        <row r="118">
          <cell r="D118">
            <v>10470</v>
          </cell>
        </row>
        <row r="119">
          <cell r="D119">
            <v>10470</v>
          </cell>
        </row>
        <row r="120">
          <cell r="D120">
            <v>10470</v>
          </cell>
        </row>
        <row r="121">
          <cell r="D121">
            <v>10470</v>
          </cell>
        </row>
        <row r="122">
          <cell r="D122">
            <v>10470</v>
          </cell>
        </row>
        <row r="123">
          <cell r="D123">
            <v>10470</v>
          </cell>
        </row>
        <row r="124">
          <cell r="D124">
            <v>10470</v>
          </cell>
        </row>
        <row r="125">
          <cell r="D125">
            <v>10470</v>
          </cell>
        </row>
        <row r="126">
          <cell r="D126">
            <v>8940</v>
          </cell>
        </row>
        <row r="127">
          <cell r="D127">
            <v>10470</v>
          </cell>
        </row>
        <row r="128">
          <cell r="D128">
            <v>10470</v>
          </cell>
        </row>
        <row r="129">
          <cell r="D129">
            <v>10470</v>
          </cell>
        </row>
        <row r="130">
          <cell r="D130">
            <v>10470</v>
          </cell>
        </row>
        <row r="131">
          <cell r="D131">
            <v>10470</v>
          </cell>
        </row>
        <row r="132">
          <cell r="D132">
            <v>10470</v>
          </cell>
        </row>
        <row r="133">
          <cell r="D133">
            <v>10470</v>
          </cell>
        </row>
        <row r="134">
          <cell r="D134">
            <v>10470</v>
          </cell>
        </row>
        <row r="135">
          <cell r="D135">
            <v>10470</v>
          </cell>
        </row>
        <row r="136">
          <cell r="D136">
            <v>10470</v>
          </cell>
        </row>
        <row r="137">
          <cell r="D137">
            <v>10470</v>
          </cell>
        </row>
        <row r="138">
          <cell r="D138">
            <v>10470</v>
          </cell>
        </row>
        <row r="139">
          <cell r="D139">
            <v>10470</v>
          </cell>
        </row>
        <row r="140">
          <cell r="D140">
            <v>10470</v>
          </cell>
        </row>
        <row r="141">
          <cell r="D141">
            <v>10470</v>
          </cell>
        </row>
        <row r="142">
          <cell r="D142">
            <v>10470</v>
          </cell>
        </row>
        <row r="143">
          <cell r="D143">
            <v>10470</v>
          </cell>
        </row>
        <row r="144">
          <cell r="D144">
            <v>10470</v>
          </cell>
        </row>
        <row r="145">
          <cell r="D145">
            <v>10470</v>
          </cell>
        </row>
        <row r="146">
          <cell r="D146">
            <v>10470</v>
          </cell>
        </row>
        <row r="147">
          <cell r="D147">
            <v>10470</v>
          </cell>
        </row>
        <row r="148">
          <cell r="D148">
            <v>10470</v>
          </cell>
        </row>
        <row r="149">
          <cell r="D149">
            <v>10470</v>
          </cell>
        </row>
        <row r="150">
          <cell r="D150">
            <v>10470</v>
          </cell>
        </row>
        <row r="151">
          <cell r="D151">
            <v>10470</v>
          </cell>
        </row>
        <row r="152">
          <cell r="D152">
            <v>10470</v>
          </cell>
        </row>
        <row r="153">
          <cell r="D153">
            <v>10470</v>
          </cell>
        </row>
        <row r="154">
          <cell r="D154">
            <v>10470</v>
          </cell>
        </row>
        <row r="155">
          <cell r="D155">
            <v>10470</v>
          </cell>
        </row>
        <row r="156">
          <cell r="D156">
            <v>10470</v>
          </cell>
        </row>
        <row r="157">
          <cell r="D157">
            <v>10470</v>
          </cell>
        </row>
        <row r="158">
          <cell r="D158">
            <v>10470</v>
          </cell>
        </row>
        <row r="159">
          <cell r="D159">
            <v>10470</v>
          </cell>
        </row>
        <row r="160">
          <cell r="D160">
            <v>10470</v>
          </cell>
        </row>
        <row r="161">
          <cell r="D161">
            <v>10470</v>
          </cell>
        </row>
        <row r="162">
          <cell r="D162">
            <v>10470</v>
          </cell>
        </row>
        <row r="163">
          <cell r="D163">
            <v>10470</v>
          </cell>
        </row>
        <row r="164">
          <cell r="D164">
            <v>10470</v>
          </cell>
        </row>
        <row r="165">
          <cell r="D165">
            <v>10470</v>
          </cell>
        </row>
        <row r="166">
          <cell r="D166">
            <v>10470</v>
          </cell>
        </row>
        <row r="167">
          <cell r="D167">
            <v>10470</v>
          </cell>
        </row>
        <row r="168">
          <cell r="D168">
            <v>10470</v>
          </cell>
        </row>
        <row r="169">
          <cell r="D169">
            <v>10470</v>
          </cell>
        </row>
        <row r="170">
          <cell r="D170">
            <v>10470</v>
          </cell>
        </row>
        <row r="171">
          <cell r="D171">
            <v>10470</v>
          </cell>
        </row>
        <row r="172">
          <cell r="D172">
            <v>10470</v>
          </cell>
        </row>
        <row r="174">
          <cell r="D174">
            <v>10470</v>
          </cell>
        </row>
        <row r="175">
          <cell r="D175">
            <v>10470</v>
          </cell>
        </row>
        <row r="176">
          <cell r="D176">
            <v>10470</v>
          </cell>
        </row>
        <row r="177">
          <cell r="D177">
            <v>10470</v>
          </cell>
        </row>
        <row r="178">
          <cell r="D178">
            <v>10470</v>
          </cell>
        </row>
        <row r="179">
          <cell r="D179">
            <v>10470</v>
          </cell>
        </row>
        <row r="180">
          <cell r="D180">
            <v>10470</v>
          </cell>
        </row>
        <row r="181">
          <cell r="D181">
            <v>10470</v>
          </cell>
        </row>
        <row r="182">
          <cell r="D182">
            <v>10470</v>
          </cell>
        </row>
        <row r="183">
          <cell r="D183">
            <v>10470</v>
          </cell>
        </row>
        <row r="184">
          <cell r="D184">
            <v>10470</v>
          </cell>
        </row>
        <row r="185">
          <cell r="D185">
            <v>10470</v>
          </cell>
        </row>
        <row r="186">
          <cell r="D186">
            <v>8940</v>
          </cell>
        </row>
        <row r="187">
          <cell r="D187">
            <v>10470</v>
          </cell>
        </row>
        <row r="195">
          <cell r="D195">
            <v>10534.929999999998</v>
          </cell>
        </row>
        <row r="199">
          <cell r="D199">
            <v>10470</v>
          </cell>
        </row>
        <row r="200">
          <cell r="D200">
            <v>10470</v>
          </cell>
        </row>
        <row r="201">
          <cell r="D201">
            <v>10470</v>
          </cell>
        </row>
        <row r="202">
          <cell r="D202">
            <v>10470</v>
          </cell>
        </row>
        <row r="203">
          <cell r="D203">
            <v>10470</v>
          </cell>
        </row>
        <row r="204">
          <cell r="D204">
            <v>10470</v>
          </cell>
        </row>
        <row r="205">
          <cell r="D205">
            <v>10470</v>
          </cell>
        </row>
        <row r="206">
          <cell r="D206">
            <v>10470</v>
          </cell>
        </row>
        <row r="207">
          <cell r="D207">
            <v>10470</v>
          </cell>
        </row>
        <row r="208">
          <cell r="D208">
            <v>10470</v>
          </cell>
        </row>
        <row r="211">
          <cell r="D211">
            <v>10470</v>
          </cell>
        </row>
        <row r="212">
          <cell r="D212">
            <v>10470</v>
          </cell>
        </row>
        <row r="213">
          <cell r="D213">
            <v>10470</v>
          </cell>
        </row>
        <row r="214">
          <cell r="D214">
            <v>10470</v>
          </cell>
        </row>
        <row r="217">
          <cell r="D217">
            <v>10470</v>
          </cell>
        </row>
        <row r="218">
          <cell r="D218">
            <v>10470</v>
          </cell>
        </row>
        <row r="219">
          <cell r="D219">
            <v>10470</v>
          </cell>
        </row>
        <row r="220">
          <cell r="D220">
            <v>10470</v>
          </cell>
        </row>
        <row r="222">
          <cell r="D222">
            <v>10470</v>
          </cell>
        </row>
        <row r="223">
          <cell r="D223">
            <v>10470</v>
          </cell>
        </row>
        <row r="225">
          <cell r="D225">
            <v>10470</v>
          </cell>
        </row>
        <row r="227">
          <cell r="D227">
            <v>10470</v>
          </cell>
        </row>
        <row r="228">
          <cell r="D228">
            <v>10470</v>
          </cell>
        </row>
        <row r="229">
          <cell r="D229">
            <v>10470</v>
          </cell>
        </row>
        <row r="230">
          <cell r="D230">
            <v>10470</v>
          </cell>
        </row>
        <row r="231">
          <cell r="D231">
            <v>10470</v>
          </cell>
        </row>
        <row r="232">
          <cell r="D232">
            <v>10470</v>
          </cell>
        </row>
        <row r="275">
          <cell r="I275">
            <v>0</v>
          </cell>
        </row>
        <row r="277">
          <cell r="I277">
            <v>0</v>
          </cell>
        </row>
        <row r="278">
          <cell r="I278">
            <v>0</v>
          </cell>
        </row>
        <row r="280">
          <cell r="I280">
            <v>0</v>
          </cell>
        </row>
        <row r="281">
          <cell r="I281">
            <v>0</v>
          </cell>
        </row>
        <row r="282">
          <cell r="I282">
            <v>0</v>
          </cell>
        </row>
        <row r="283">
          <cell r="I283">
            <v>0</v>
          </cell>
        </row>
        <row r="284">
          <cell r="I284">
            <v>0</v>
          </cell>
        </row>
        <row r="285">
          <cell r="I285">
            <v>0</v>
          </cell>
        </row>
        <row r="286">
          <cell r="I286">
            <v>0</v>
          </cell>
        </row>
        <row r="289">
          <cell r="I289">
            <v>8.4600000000000009</v>
          </cell>
        </row>
      </sheetData>
      <sheetData sheetId="2"/>
      <sheetData sheetId="3"/>
      <sheetData sheetId="4">
        <row r="8">
          <cell r="D8">
            <v>66.680000000000007</v>
          </cell>
        </row>
        <row r="9">
          <cell r="D9">
            <v>225.99</v>
          </cell>
        </row>
        <row r="10">
          <cell r="D10">
            <v>385.01</v>
          </cell>
        </row>
        <row r="11">
          <cell r="D11">
            <v>59.424999999999997</v>
          </cell>
        </row>
        <row r="12">
          <cell r="D12">
            <v>124.467</v>
          </cell>
        </row>
        <row r="13">
          <cell r="D13">
            <v>25.940999999999999</v>
          </cell>
        </row>
        <row r="14">
          <cell r="C14">
            <v>0</v>
          </cell>
        </row>
        <row r="15">
          <cell r="D15">
            <v>284.01400000000001</v>
          </cell>
        </row>
        <row r="16">
          <cell r="D16">
            <v>1.53</v>
          </cell>
        </row>
        <row r="19">
          <cell r="D19">
            <v>300.74</v>
          </cell>
        </row>
        <row r="20">
          <cell r="D20">
            <v>141.84200000000001</v>
          </cell>
        </row>
        <row r="21">
          <cell r="D21">
            <v>1521.5039999999999</v>
          </cell>
        </row>
        <row r="22">
          <cell r="D22">
            <v>3347.038</v>
          </cell>
        </row>
        <row r="23">
          <cell r="D23">
            <v>685.64800000000002</v>
          </cell>
        </row>
        <row r="24">
          <cell r="D24">
            <v>20.631</v>
          </cell>
        </row>
        <row r="25">
          <cell r="D25">
            <v>62.631</v>
          </cell>
        </row>
        <row r="26">
          <cell r="D26">
            <v>352.02300000000002</v>
          </cell>
        </row>
        <row r="27">
          <cell r="D27">
            <v>14.255000000000001</v>
          </cell>
        </row>
        <row r="28">
          <cell r="D28">
            <v>32.558999999999997</v>
          </cell>
        </row>
        <row r="29">
          <cell r="D29">
            <v>10.44</v>
          </cell>
        </row>
        <row r="30">
          <cell r="D30">
            <v>2.2229999999999999</v>
          </cell>
        </row>
        <row r="33">
          <cell r="D33">
            <v>1.1240000000000001</v>
          </cell>
        </row>
        <row r="34">
          <cell r="D34">
            <v>16.635000000000002</v>
          </cell>
        </row>
        <row r="36">
          <cell r="D36">
            <v>2.6019999999999999</v>
          </cell>
        </row>
        <row r="37">
          <cell r="D37">
            <v>6</v>
          </cell>
        </row>
        <row r="38">
          <cell r="D38">
            <v>2.9670000000000001</v>
          </cell>
        </row>
        <row r="39">
          <cell r="D39">
            <v>0.156</v>
          </cell>
        </row>
        <row r="40">
          <cell r="D40">
            <v>2.7789999999999999</v>
          </cell>
        </row>
        <row r="41">
          <cell r="D41">
            <v>3.0329999999999999</v>
          </cell>
        </row>
        <row r="42">
          <cell r="D42">
            <v>14.255000000000001</v>
          </cell>
        </row>
        <row r="43">
          <cell r="D43">
            <v>4.0739999999999998</v>
          </cell>
        </row>
        <row r="44">
          <cell r="D44">
            <v>12.42</v>
          </cell>
        </row>
        <row r="45">
          <cell r="D45">
            <v>3.1</v>
          </cell>
        </row>
        <row r="46">
          <cell r="D46">
            <v>0.373</v>
          </cell>
        </row>
        <row r="47">
          <cell r="D47">
            <v>7.8E-2</v>
          </cell>
        </row>
        <row r="48">
          <cell r="D48">
            <v>43.609000000000002</v>
          </cell>
        </row>
        <row r="49">
          <cell r="D49">
            <v>9.6669999999999998</v>
          </cell>
        </row>
        <row r="50">
          <cell r="D50">
            <v>4.1000000000000002E-2</v>
          </cell>
        </row>
        <row r="51">
          <cell r="D51">
            <v>87.129000000000005</v>
          </cell>
        </row>
        <row r="52">
          <cell r="D52">
            <v>0.32200000000000001</v>
          </cell>
        </row>
        <row r="53">
          <cell r="D53">
            <v>0.10299999999999999</v>
          </cell>
        </row>
        <row r="54">
          <cell r="D54">
            <v>0.97499999999999998</v>
          </cell>
        </row>
        <row r="55">
          <cell r="D55">
            <v>6.5000000000000002E-2</v>
          </cell>
        </row>
        <row r="56">
          <cell r="D56">
            <v>78.935000000000002</v>
          </cell>
        </row>
        <row r="57">
          <cell r="D57">
            <v>0</v>
          </cell>
        </row>
        <row r="58">
          <cell r="D58">
            <v>16.86</v>
          </cell>
        </row>
        <row r="59">
          <cell r="D59">
            <v>1.1599999999999999</v>
          </cell>
        </row>
        <row r="60">
          <cell r="D60">
            <v>4.202</v>
          </cell>
        </row>
        <row r="61">
          <cell r="D61">
            <v>0.67400000000000004</v>
          </cell>
        </row>
        <row r="62">
          <cell r="D62">
            <v>4.9139999999999997</v>
          </cell>
        </row>
        <row r="63">
          <cell r="D63">
            <v>11.1</v>
          </cell>
        </row>
        <row r="64">
          <cell r="D64">
            <v>109.2</v>
          </cell>
        </row>
        <row r="65">
          <cell r="D65">
            <v>1.1839999999999999</v>
          </cell>
        </row>
        <row r="66">
          <cell r="D66">
            <v>1.46</v>
          </cell>
        </row>
        <row r="67">
          <cell r="D67">
            <v>210.453</v>
          </cell>
        </row>
        <row r="68">
          <cell r="D68">
            <v>0.4</v>
          </cell>
        </row>
        <row r="69">
          <cell r="D69">
            <v>2.5790000000000002</v>
          </cell>
        </row>
        <row r="70">
          <cell r="D70">
            <v>0.17</v>
          </cell>
        </row>
        <row r="71">
          <cell r="D71">
            <v>6.0720000000000001</v>
          </cell>
        </row>
        <row r="72">
          <cell r="D72">
            <v>3</v>
          </cell>
        </row>
        <row r="73">
          <cell r="D73">
            <v>9.3640000000000008</v>
          </cell>
        </row>
        <row r="74">
          <cell r="D74">
            <v>18.175999999999998</v>
          </cell>
        </row>
        <row r="75">
          <cell r="D75">
            <v>2.3330000000000002</v>
          </cell>
        </row>
        <row r="76">
          <cell r="D76">
            <v>0.24199999999999999</v>
          </cell>
        </row>
        <row r="77">
          <cell r="D77">
            <v>62.170999999999999</v>
          </cell>
        </row>
        <row r="78">
          <cell r="D78">
            <v>0.66</v>
          </cell>
        </row>
        <row r="79">
          <cell r="D79">
            <v>7.4450000000000003</v>
          </cell>
        </row>
        <row r="80">
          <cell r="D80">
            <v>1.6479999999999999</v>
          </cell>
        </row>
        <row r="81">
          <cell r="D81">
            <v>0.55100000000000005</v>
          </cell>
        </row>
        <row r="82">
          <cell r="D82">
            <v>6.54</v>
          </cell>
        </row>
        <row r="83">
          <cell r="D83">
            <v>18</v>
          </cell>
        </row>
        <row r="84">
          <cell r="D84">
            <v>11.85</v>
          </cell>
        </row>
        <row r="85">
          <cell r="D85">
            <v>0.65700000000000003</v>
          </cell>
        </row>
        <row r="86">
          <cell r="D86">
            <v>0</v>
          </cell>
        </row>
        <row r="87">
          <cell r="D87">
            <v>2.665</v>
          </cell>
        </row>
        <row r="88">
          <cell r="D88">
            <v>1.0980000000000001</v>
          </cell>
        </row>
        <row r="89">
          <cell r="D89">
            <v>3.5640000000000001</v>
          </cell>
        </row>
        <row r="90">
          <cell r="D90">
            <v>22.712</v>
          </cell>
        </row>
        <row r="91">
          <cell r="D91">
            <v>0.32100000000000001</v>
          </cell>
        </row>
        <row r="92">
          <cell r="D92">
            <v>2.1110000000000002</v>
          </cell>
        </row>
        <row r="93">
          <cell r="D93">
            <v>2.2330000000000001</v>
          </cell>
        </row>
        <row r="94">
          <cell r="D94">
            <v>0.29899999999999999</v>
          </cell>
        </row>
        <row r="95">
          <cell r="D95">
            <v>4.3650000000000002</v>
          </cell>
        </row>
        <row r="96">
          <cell r="D96">
            <v>10.919</v>
          </cell>
        </row>
        <row r="97">
          <cell r="D97">
            <v>1.24</v>
          </cell>
        </row>
        <row r="98">
          <cell r="D98">
            <v>1.48</v>
          </cell>
        </row>
        <row r="99">
          <cell r="D99">
            <v>9.6000000000000002E-2</v>
          </cell>
        </row>
        <row r="100">
          <cell r="D100">
            <v>2E-3</v>
          </cell>
        </row>
        <row r="101">
          <cell r="D101">
            <v>8.2000000000000003E-2</v>
          </cell>
        </row>
        <row r="102">
          <cell r="D102">
            <v>2.7530000000000001</v>
          </cell>
        </row>
        <row r="103">
          <cell r="D103">
            <v>1.42</v>
          </cell>
        </row>
        <row r="104">
          <cell r="D104">
            <v>0</v>
          </cell>
        </row>
        <row r="105">
          <cell r="D105">
            <v>15.055999999999999</v>
          </cell>
        </row>
        <row r="106">
          <cell r="D106">
            <v>24.077000000000002</v>
          </cell>
        </row>
        <row r="107">
          <cell r="D107">
            <v>7.0000000000000007E-2</v>
          </cell>
        </row>
        <row r="108">
          <cell r="D108">
            <v>1.375</v>
          </cell>
        </row>
        <row r="109">
          <cell r="D109">
            <v>30.616</v>
          </cell>
        </row>
        <row r="110">
          <cell r="D110">
            <v>28.527999999999999</v>
          </cell>
        </row>
        <row r="111">
          <cell r="D111">
            <v>11.651</v>
          </cell>
        </row>
        <row r="112">
          <cell r="D112">
            <v>1.0129999999999999</v>
          </cell>
        </row>
        <row r="113">
          <cell r="D113">
            <v>28.497</v>
          </cell>
        </row>
        <row r="114">
          <cell r="D114">
            <v>64.516000000000005</v>
          </cell>
        </row>
        <row r="115">
          <cell r="D115">
            <v>0.187</v>
          </cell>
        </row>
        <row r="116">
          <cell r="D116">
            <v>0.40500000000000003</v>
          </cell>
        </row>
        <row r="117">
          <cell r="D117">
            <v>86.042000000000002</v>
          </cell>
        </row>
        <row r="118">
          <cell r="D118">
            <v>4.7759999999999998</v>
          </cell>
        </row>
        <row r="119">
          <cell r="D119">
            <v>298.3</v>
          </cell>
        </row>
        <row r="120">
          <cell r="D120">
            <v>13.222</v>
          </cell>
        </row>
        <row r="121">
          <cell r="D121">
            <v>5.5839999999999996</v>
          </cell>
        </row>
        <row r="122">
          <cell r="D122">
            <v>0.86399999999999999</v>
          </cell>
        </row>
        <row r="123">
          <cell r="D123">
            <v>3.95</v>
          </cell>
        </row>
        <row r="124">
          <cell r="D124">
            <v>3.4430000000000001</v>
          </cell>
        </row>
        <row r="125">
          <cell r="D125">
            <v>1.623</v>
          </cell>
        </row>
        <row r="126">
          <cell r="D126">
            <v>2.5190000000000001</v>
          </cell>
        </row>
        <row r="127">
          <cell r="D127">
            <v>2.14</v>
          </cell>
        </row>
        <row r="128">
          <cell r="D128">
            <v>21.257999999999999</v>
          </cell>
        </row>
        <row r="129">
          <cell r="D129">
            <v>32.811999999999998</v>
          </cell>
        </row>
        <row r="130">
          <cell r="D130">
            <v>2.0790000000000002</v>
          </cell>
        </row>
        <row r="131">
          <cell r="D131">
            <v>7.726</v>
          </cell>
        </row>
        <row r="132">
          <cell r="D132">
            <v>7.6680000000000001</v>
          </cell>
        </row>
        <row r="133">
          <cell r="D133">
            <v>0.70099999999999996</v>
          </cell>
        </row>
        <row r="134">
          <cell r="D134">
            <v>0</v>
          </cell>
        </row>
        <row r="135">
          <cell r="D135">
            <v>2.92</v>
          </cell>
        </row>
        <row r="136">
          <cell r="D136">
            <v>0.76</v>
          </cell>
        </row>
        <row r="137">
          <cell r="D137">
            <v>7.9569999999999999</v>
          </cell>
        </row>
        <row r="138">
          <cell r="D138">
            <v>0.314</v>
          </cell>
        </row>
        <row r="139">
          <cell r="D139">
            <v>2.1800000000000002</v>
          </cell>
        </row>
        <row r="140">
          <cell r="D140">
            <v>28.695</v>
          </cell>
        </row>
        <row r="141">
          <cell r="D141">
            <v>0</v>
          </cell>
        </row>
        <row r="142">
          <cell r="D142">
            <v>18.643000000000001</v>
          </cell>
        </row>
        <row r="143">
          <cell r="D143">
            <v>105.29</v>
          </cell>
        </row>
        <row r="144">
          <cell r="D144">
            <v>21.823</v>
          </cell>
        </row>
        <row r="145">
          <cell r="D145">
            <v>4.5049999999999999</v>
          </cell>
        </row>
        <row r="146">
          <cell r="D146">
            <v>5.0449999999999999</v>
          </cell>
        </row>
        <row r="147">
          <cell r="D147">
            <v>5.133</v>
          </cell>
        </row>
        <row r="148">
          <cell r="D148">
            <v>0.64300000000000002</v>
          </cell>
        </row>
        <row r="149">
          <cell r="D149">
            <v>1.3140000000000001</v>
          </cell>
        </row>
        <row r="150">
          <cell r="D150">
            <v>4.9000000000000004</v>
          </cell>
        </row>
        <row r="151">
          <cell r="D151">
            <v>71.570999999999998</v>
          </cell>
        </row>
        <row r="152">
          <cell r="D152">
            <v>3.54</v>
          </cell>
        </row>
        <row r="153">
          <cell r="D153">
            <v>109.66</v>
          </cell>
        </row>
        <row r="154">
          <cell r="D154">
            <v>160.44</v>
          </cell>
        </row>
        <row r="155">
          <cell r="D155">
            <v>16.986999999999998</v>
          </cell>
        </row>
        <row r="156">
          <cell r="D156">
            <v>1.7549999999999999</v>
          </cell>
        </row>
        <row r="157">
          <cell r="D157">
            <v>0.04</v>
          </cell>
        </row>
        <row r="158">
          <cell r="D158">
            <v>0.10199999999999999</v>
          </cell>
        </row>
        <row r="159">
          <cell r="D159">
            <v>0</v>
          </cell>
        </row>
        <row r="160">
          <cell r="D160">
            <v>0.26200000000000001</v>
          </cell>
        </row>
        <row r="161">
          <cell r="D161">
            <v>18.760000000000002</v>
          </cell>
        </row>
        <row r="162">
          <cell r="D162">
            <v>0</v>
          </cell>
        </row>
        <row r="163">
          <cell r="D163">
            <v>2.9089999999999998</v>
          </cell>
        </row>
        <row r="164">
          <cell r="D164">
            <v>0.14799999999999999</v>
          </cell>
        </row>
        <row r="165">
          <cell r="D165">
            <v>3.3559999999999999</v>
          </cell>
        </row>
        <row r="166">
          <cell r="D166">
            <v>0.374</v>
          </cell>
        </row>
        <row r="167">
          <cell r="D167">
            <v>9.3859999999999992</v>
          </cell>
        </row>
        <row r="168">
          <cell r="D168">
            <v>2.4470000000000001</v>
          </cell>
        </row>
        <row r="169">
          <cell r="D169">
            <v>13.93</v>
          </cell>
        </row>
        <row r="170">
          <cell r="D170">
            <v>0.29399999999999998</v>
          </cell>
        </row>
        <row r="171">
          <cell r="D171">
            <v>190.42599999999999</v>
          </cell>
        </row>
        <row r="172">
          <cell r="D172">
            <v>1.24</v>
          </cell>
        </row>
        <row r="173">
          <cell r="D173">
            <v>0.27</v>
          </cell>
        </row>
        <row r="174">
          <cell r="D174">
            <v>4.74</v>
          </cell>
        </row>
        <row r="175">
          <cell r="D175">
            <v>4.3999999999999997E-2</v>
          </cell>
        </row>
        <row r="176">
          <cell r="D176">
            <v>118.801</v>
          </cell>
        </row>
        <row r="177">
          <cell r="D177">
            <v>0.20599999999999999</v>
          </cell>
        </row>
        <row r="178">
          <cell r="D178">
            <v>0.92100000000000004</v>
          </cell>
        </row>
        <row r="179">
          <cell r="D179">
            <v>2.1120000000000001</v>
          </cell>
        </row>
        <row r="180">
          <cell r="D180">
            <v>2.1190000000000002</v>
          </cell>
        </row>
        <row r="181">
          <cell r="D181">
            <v>2.3519999999999999</v>
          </cell>
        </row>
        <row r="182">
          <cell r="D182">
            <v>4.4349999999999996</v>
          </cell>
        </row>
        <row r="183">
          <cell r="D183">
            <v>17.367000000000001</v>
          </cell>
        </row>
        <row r="184">
          <cell r="D184">
            <v>6.077</v>
          </cell>
        </row>
        <row r="185">
          <cell r="D185">
            <v>12.654</v>
          </cell>
        </row>
        <row r="186">
          <cell r="D186">
            <v>2.173</v>
          </cell>
        </row>
        <row r="187">
          <cell r="D187">
            <v>4.4139999999999997</v>
          </cell>
        </row>
        <row r="188">
          <cell r="D188">
            <v>2.9089999999999998</v>
          </cell>
        </row>
        <row r="189">
          <cell r="D189">
            <v>4.6509999999999998</v>
          </cell>
        </row>
        <row r="190">
          <cell r="D190">
            <v>0.28999999999999998</v>
          </cell>
        </row>
        <row r="191">
          <cell r="D191">
            <v>0.91</v>
          </cell>
        </row>
        <row r="192">
          <cell r="D192">
            <v>4.8959999999999999</v>
          </cell>
        </row>
        <row r="193">
          <cell r="D193">
            <v>6.3650000000000002</v>
          </cell>
        </row>
        <row r="194">
          <cell r="D194">
            <v>0.19800000000000001</v>
          </cell>
        </row>
        <row r="195">
          <cell r="D195">
            <v>3.5870000000000002</v>
          </cell>
        </row>
        <row r="196">
          <cell r="D196">
            <v>3.0000000000000001E-3</v>
          </cell>
        </row>
        <row r="197">
          <cell r="D197">
            <v>9.02</v>
          </cell>
        </row>
        <row r="198">
          <cell r="D198">
            <v>13.74</v>
          </cell>
        </row>
        <row r="199">
          <cell r="D199">
            <v>0.14199999999999999</v>
          </cell>
        </row>
        <row r="200">
          <cell r="D200">
            <v>1.2210000000000001</v>
          </cell>
        </row>
        <row r="201">
          <cell r="D201">
            <v>1.7070000000000001</v>
          </cell>
        </row>
        <row r="202">
          <cell r="D202">
            <v>4.5720000000000001</v>
          </cell>
        </row>
        <row r="203">
          <cell r="D203">
            <v>1.03</v>
          </cell>
        </row>
        <row r="204">
          <cell r="D204">
            <v>1.417</v>
          </cell>
        </row>
        <row r="205">
          <cell r="D205">
            <v>3.2839999999999998</v>
          </cell>
        </row>
        <row r="206">
          <cell r="D206">
            <v>0.03</v>
          </cell>
        </row>
        <row r="207">
          <cell r="D207">
            <v>0.32200000000000001</v>
          </cell>
        </row>
        <row r="208">
          <cell r="D208">
            <v>0.69699999999999995</v>
          </cell>
        </row>
        <row r="209">
          <cell r="D209">
            <v>6.4379999999999997</v>
          </cell>
        </row>
        <row r="210">
          <cell r="D210">
            <v>1.5089999999999999</v>
          </cell>
        </row>
        <row r="211">
          <cell r="D211">
            <v>0</v>
          </cell>
        </row>
        <row r="212">
          <cell r="D212">
            <v>14.587</v>
          </cell>
        </row>
        <row r="213">
          <cell r="D213">
            <v>9.1430000000000007</v>
          </cell>
        </row>
        <row r="214">
          <cell r="D214">
            <v>20.059000000000001</v>
          </cell>
        </row>
        <row r="215">
          <cell r="D215">
            <v>11.286</v>
          </cell>
        </row>
        <row r="216">
          <cell r="D216">
            <v>14.275</v>
          </cell>
        </row>
        <row r="217">
          <cell r="D217">
            <v>2.2029999999999998</v>
          </cell>
        </row>
        <row r="218">
          <cell r="D218">
            <v>0.55100000000000005</v>
          </cell>
        </row>
        <row r="219">
          <cell r="D219">
            <v>0.60599999999999998</v>
          </cell>
        </row>
        <row r="220">
          <cell r="D220">
            <v>29.718</v>
          </cell>
        </row>
        <row r="221">
          <cell r="D221">
            <v>8.7379999999999995</v>
          </cell>
        </row>
        <row r="222">
          <cell r="D222">
            <v>108.517</v>
          </cell>
        </row>
        <row r="223">
          <cell r="D223">
            <v>0</v>
          </cell>
        </row>
        <row r="224">
          <cell r="D224">
            <v>1.2929999999999999</v>
          </cell>
        </row>
        <row r="225">
          <cell r="D225">
            <v>0</v>
          </cell>
        </row>
        <row r="226">
          <cell r="D226">
            <v>2.9329999999999998</v>
          </cell>
        </row>
        <row r="227">
          <cell r="D227">
            <v>1.1479999999999999</v>
          </cell>
        </row>
        <row r="228">
          <cell r="D228">
            <v>0.06</v>
          </cell>
        </row>
        <row r="229">
          <cell r="D229">
            <v>1.4590000000000001</v>
          </cell>
        </row>
        <row r="230">
          <cell r="D230">
            <v>0.189</v>
          </cell>
        </row>
        <row r="231">
          <cell r="D231">
            <v>1.66</v>
          </cell>
        </row>
        <row r="232">
          <cell r="D232">
            <v>1.788</v>
          </cell>
        </row>
        <row r="233">
          <cell r="D233">
            <v>11.516</v>
          </cell>
        </row>
        <row r="234">
          <cell r="D234">
            <v>1.1890000000000001</v>
          </cell>
        </row>
        <row r="239">
          <cell r="C239">
            <v>4549330</v>
          </cell>
        </row>
        <row r="241">
          <cell r="C241">
            <v>5985116</v>
          </cell>
        </row>
        <row r="245">
          <cell r="D245">
            <v>10534.446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rygin.sv@k-energomash.ru" TargetMode="External"/><Relationship Id="rId13" Type="http://schemas.openxmlformats.org/officeDocument/2006/relationships/hyperlink" Target="mailto:medstart-spb@mail.ru" TargetMode="External"/><Relationship Id="rId18" Type="http://schemas.openxmlformats.org/officeDocument/2006/relationships/hyperlink" Target="mailto:kotelspb@bk.ru" TargetMode="External"/><Relationship Id="rId3" Type="http://schemas.openxmlformats.org/officeDocument/2006/relationships/hyperlink" Target="mailto:s-vitaly@mail.ru;info@craftenergo.ru" TargetMode="External"/><Relationship Id="rId21" Type="http://schemas.openxmlformats.org/officeDocument/2006/relationships/hyperlink" Target="mailto:Info_npo_rps@inbox.ru" TargetMode="External"/><Relationship Id="rId7" Type="http://schemas.openxmlformats.org/officeDocument/2006/relationships/hyperlink" Target="mailto:salon@avtovo.ru" TargetMode="External"/><Relationship Id="rId12" Type="http://schemas.openxmlformats.org/officeDocument/2006/relationships/hyperlink" Target="mailto:aleksandr.shirokov@ilimgroup.ru" TargetMode="External"/><Relationship Id="rId17" Type="http://schemas.openxmlformats.org/officeDocument/2006/relationships/hyperlink" Target="mailto:mzn5@mail.ru" TargetMode="External"/><Relationship Id="rId2" Type="http://schemas.openxmlformats.org/officeDocument/2006/relationships/hyperlink" Target="mailto:bbk-logistik@yandex.ru" TargetMode="External"/><Relationship Id="rId16" Type="http://schemas.openxmlformats.org/officeDocument/2006/relationships/hyperlink" Target="mailto:salut@metallium.tech" TargetMode="External"/><Relationship Id="rId20" Type="http://schemas.openxmlformats.org/officeDocument/2006/relationships/hyperlink" Target="mailto:kira1607@yahoo.com" TargetMode="External"/><Relationship Id="rId1" Type="http://schemas.openxmlformats.org/officeDocument/2006/relationships/hyperlink" Target="mailto:otk@rosmet.spb.ru" TargetMode="External"/><Relationship Id="rId6" Type="http://schemas.openxmlformats.org/officeDocument/2006/relationships/hyperlink" Target="mailto:office@kirovtek.kzgroup.ru" TargetMode="External"/><Relationship Id="rId11" Type="http://schemas.openxmlformats.org/officeDocument/2006/relationships/hyperlink" Target="mailto:Steel8008@yandex.ru" TargetMode="External"/><Relationship Id="rId5" Type="http://schemas.openxmlformats.org/officeDocument/2006/relationships/hyperlink" Target="mailto:office@kirovtek.kzgroup.ru" TargetMode="External"/><Relationship Id="rId15" Type="http://schemas.openxmlformats.org/officeDocument/2006/relationships/hyperlink" Target="mailto:ow@kvils.ru" TargetMode="External"/><Relationship Id="rId10" Type="http://schemas.openxmlformats.org/officeDocument/2006/relationships/hyperlink" Target="mailto:info@tsz-nt.ru" TargetMode="External"/><Relationship Id="rId19" Type="http://schemas.openxmlformats.org/officeDocument/2006/relationships/hyperlink" Target="mailto:bva@skmz.ru" TargetMode="External"/><Relationship Id="rId4" Type="http://schemas.openxmlformats.org/officeDocument/2006/relationships/hyperlink" Target="mailto:devgalimov@yandex.ru" TargetMode="External"/><Relationship Id="rId9" Type="http://schemas.openxmlformats.org/officeDocument/2006/relationships/hyperlink" Target="mailto:y.sapunkov@krupa-national.ru" TargetMode="External"/><Relationship Id="rId14" Type="http://schemas.openxmlformats.org/officeDocument/2006/relationships/hyperlink" Target="mailto:office@360constr.com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Y273"/>
  <sheetViews>
    <sheetView tabSelected="1" topLeftCell="F16" zoomScale="115" zoomScaleNormal="115" zoomScaleSheetLayoutView="100" workbookViewId="0">
      <selection activeCell="F12" sqref="F12"/>
    </sheetView>
  </sheetViews>
  <sheetFormatPr defaultColWidth="9.140625" defaultRowHeight="12.75" outlineLevelCol="1"/>
  <cols>
    <col min="1" max="1" width="7" style="1" hidden="1" customWidth="1" outlineLevel="1"/>
    <col min="2" max="2" width="51" hidden="1" customWidth="1" outlineLevel="1"/>
    <col min="3" max="3" width="37.85546875" hidden="1" customWidth="1" outlineLevel="1"/>
    <col min="4" max="4" width="27.42578125" hidden="1" customWidth="1" outlineLevel="1"/>
    <col min="5" max="5" width="7.140625" customWidth="1" collapsed="1"/>
    <col min="6" max="6" width="22.7109375" customWidth="1"/>
    <col min="7" max="7" width="14.42578125" customWidth="1"/>
    <col min="8" max="8" width="32.140625" style="2" customWidth="1"/>
    <col min="9" max="9" width="16" style="3" customWidth="1"/>
    <col min="10" max="10" width="19.85546875" customWidth="1"/>
    <col min="11" max="11" width="18.85546875" customWidth="1"/>
    <col min="12" max="12" width="16.42578125" customWidth="1"/>
    <col min="13" max="13" width="27" customWidth="1"/>
    <col min="14" max="14" width="11.5703125" customWidth="1"/>
    <col min="15" max="15" width="12" customWidth="1"/>
    <col min="16" max="16" width="13.85546875" customWidth="1"/>
    <col min="17" max="17" width="13.42578125" customWidth="1"/>
    <col min="18" max="18" width="12.7109375" customWidth="1"/>
    <col min="19" max="19" width="17" customWidth="1"/>
    <col min="20" max="20" width="15" customWidth="1"/>
  </cols>
  <sheetData>
    <row r="1" spans="1:22">
      <c r="R1" s="4"/>
      <c r="S1" s="5"/>
    </row>
    <row r="2" spans="1:22" ht="12.75" customHeight="1">
      <c r="R2" s="6"/>
      <c r="S2" s="5"/>
    </row>
    <row r="3" spans="1:22">
      <c r="R3" s="7"/>
      <c r="S3" s="5"/>
      <c r="T3" s="5"/>
    </row>
    <row r="4" spans="1:22">
      <c r="R4" s="7"/>
      <c r="S4" s="5"/>
    </row>
    <row r="5" spans="1:22">
      <c r="R5" s="7"/>
      <c r="S5" s="5"/>
    </row>
    <row r="6" spans="1:22">
      <c r="R6" s="7"/>
      <c r="S6" s="5"/>
      <c r="T6" s="8"/>
      <c r="V6" s="8"/>
    </row>
    <row r="7" spans="1:22" ht="15">
      <c r="I7" s="9"/>
      <c r="O7" s="10"/>
      <c r="R7" s="7"/>
      <c r="S7" s="5"/>
    </row>
    <row r="8" spans="1:22" ht="15.75">
      <c r="E8" s="11" t="s">
        <v>0</v>
      </c>
      <c r="F8" s="12"/>
      <c r="G8" s="13"/>
      <c r="H8" s="14" t="s">
        <v>1</v>
      </c>
      <c r="I8" s="15" t="s">
        <v>2</v>
      </c>
      <c r="O8" s="10"/>
      <c r="P8" s="16"/>
      <c r="Q8" s="17"/>
      <c r="R8" s="17"/>
      <c r="S8" s="5"/>
    </row>
    <row r="9" spans="1:22" ht="18">
      <c r="G9" s="18"/>
      <c r="H9" s="19" t="s">
        <v>3</v>
      </c>
      <c r="I9" s="20" t="s">
        <v>4</v>
      </c>
      <c r="O9" s="10"/>
      <c r="P9" s="16"/>
      <c r="Q9" s="17"/>
      <c r="R9" s="17"/>
      <c r="S9" s="5"/>
    </row>
    <row r="10" spans="1:22" ht="18" customHeight="1">
      <c r="H10" s="21"/>
      <c r="I10" s="9"/>
      <c r="O10" s="10"/>
      <c r="P10" s="16"/>
      <c r="Q10" s="17"/>
      <c r="R10" s="17"/>
      <c r="S10" s="5"/>
    </row>
    <row r="11" spans="1:22" ht="30">
      <c r="B11" s="22" t="s">
        <v>5</v>
      </c>
      <c r="C11" s="22" t="s">
        <v>6</v>
      </c>
      <c r="D11" s="22" t="s">
        <v>7</v>
      </c>
      <c r="E11" s="22" t="s">
        <v>8</v>
      </c>
      <c r="F11" s="22" t="s">
        <v>9</v>
      </c>
      <c r="G11" s="22" t="s">
        <v>10</v>
      </c>
      <c r="H11" s="23" t="s">
        <v>11</v>
      </c>
      <c r="I11" s="24" t="s">
        <v>12</v>
      </c>
      <c r="J11" s="25" t="s">
        <v>13</v>
      </c>
      <c r="K11" s="25" t="s">
        <v>14</v>
      </c>
      <c r="L11" s="8" t="s">
        <v>15</v>
      </c>
      <c r="O11" s="10"/>
      <c r="P11" s="26"/>
      <c r="Q11" s="17"/>
      <c r="R11" s="17"/>
      <c r="S11" s="5"/>
    </row>
    <row r="12" spans="1:22">
      <c r="B12" s="27" t="s">
        <v>16</v>
      </c>
      <c r="C12" s="27" t="s">
        <v>17</v>
      </c>
      <c r="D12" s="27" t="s">
        <v>18</v>
      </c>
      <c r="E12" s="28">
        <f t="shared" ref="E12:E252" si="0">ROW()-11</f>
        <v>1</v>
      </c>
      <c r="F12" s="29" t="s">
        <v>19</v>
      </c>
      <c r="G12" s="30" t="s">
        <v>20</v>
      </c>
      <c r="H12" s="31" t="s">
        <v>21</v>
      </c>
      <c r="I12" s="32">
        <f>[1]Итог!D42</f>
        <v>14.255000000000001</v>
      </c>
      <c r="J12" s="33">
        <f>[1]Ведомость!D49</f>
        <v>10470</v>
      </c>
      <c r="K12" s="34">
        <f t="shared" ref="K12:K75" si="1">I12*J12*1.22</f>
        <v>182084.81700000001</v>
      </c>
      <c r="M12" s="10"/>
      <c r="O12" s="10">
        <v>14.255000000000001</v>
      </c>
      <c r="P12" s="16"/>
      <c r="Q12" s="35"/>
      <c r="R12" s="17"/>
      <c r="S12" s="5"/>
    </row>
    <row r="13" spans="1:22">
      <c r="A13" s="1" t="s">
        <v>22</v>
      </c>
      <c r="B13" s="27" t="s">
        <v>23</v>
      </c>
      <c r="C13" s="27" t="s">
        <v>24</v>
      </c>
      <c r="D13" s="27" t="s">
        <v>25</v>
      </c>
      <c r="E13" s="28">
        <f t="shared" si="0"/>
        <v>2</v>
      </c>
      <c r="F13" s="29" t="s">
        <v>26</v>
      </c>
      <c r="G13" s="30" t="s">
        <v>27</v>
      </c>
      <c r="H13" s="31" t="s">
        <v>28</v>
      </c>
      <c r="I13" s="32">
        <f>[1]Итог!D36</f>
        <v>2.6019999999999999</v>
      </c>
      <c r="J13" s="33">
        <f>[1]Ведомость!D43</f>
        <v>10470</v>
      </c>
      <c r="K13" s="34">
        <f t="shared" si="1"/>
        <v>33236.3868</v>
      </c>
      <c r="M13" s="10"/>
      <c r="O13" s="10">
        <v>6</v>
      </c>
      <c r="P13" s="36"/>
      <c r="Q13" s="17"/>
      <c r="R13" s="17"/>
      <c r="S13" s="5"/>
    </row>
    <row r="14" spans="1:22">
      <c r="A14" s="1" t="s">
        <v>22</v>
      </c>
      <c r="B14" s="27" t="s">
        <v>29</v>
      </c>
      <c r="C14" s="27" t="s">
        <v>30</v>
      </c>
      <c r="D14" s="27"/>
      <c r="E14" s="28">
        <f t="shared" si="0"/>
        <v>3</v>
      </c>
      <c r="F14" s="29" t="s">
        <v>31</v>
      </c>
      <c r="G14" s="30" t="s">
        <v>32</v>
      </c>
      <c r="H14" s="31" t="s">
        <v>33</v>
      </c>
      <c r="I14" s="32">
        <f>[1]Итог!D37</f>
        <v>6</v>
      </c>
      <c r="J14" s="33">
        <f>[1]Ведомость!D44</f>
        <v>10470</v>
      </c>
      <c r="K14" s="34">
        <f t="shared" si="1"/>
        <v>76640.399999999994</v>
      </c>
      <c r="M14" s="10"/>
      <c r="O14" s="10">
        <v>0.156</v>
      </c>
      <c r="P14" s="37"/>
      <c r="Q14" s="17"/>
      <c r="R14" s="17"/>
      <c r="S14" s="5"/>
    </row>
    <row r="15" spans="1:22">
      <c r="B15" s="27" t="s">
        <v>34</v>
      </c>
      <c r="C15" s="27" t="s">
        <v>35</v>
      </c>
      <c r="D15" s="27" t="s">
        <v>36</v>
      </c>
      <c r="E15" s="28">
        <f t="shared" si="0"/>
        <v>4</v>
      </c>
      <c r="F15" s="29" t="s">
        <v>37</v>
      </c>
      <c r="G15" s="30">
        <v>7807276715</v>
      </c>
      <c r="H15" s="31" t="s">
        <v>38</v>
      </c>
      <c r="I15" s="32">
        <f>[1]Итог!D39</f>
        <v>0.156</v>
      </c>
      <c r="J15" s="33">
        <f>[1]Ведомость!D46</f>
        <v>10470</v>
      </c>
      <c r="K15" s="34">
        <f t="shared" si="1"/>
        <v>1992.6504</v>
      </c>
      <c r="M15" s="10"/>
      <c r="O15" s="10">
        <v>2.7789999999999999</v>
      </c>
      <c r="P15" s="16"/>
      <c r="Q15" s="17"/>
      <c r="R15" s="7"/>
      <c r="S15" s="5"/>
    </row>
    <row r="16" spans="1:22">
      <c r="A16" s="1" t="s">
        <v>22</v>
      </c>
      <c r="B16" s="27" t="s">
        <v>39</v>
      </c>
      <c r="C16" s="27" t="s">
        <v>40</v>
      </c>
      <c r="D16" s="27" t="s">
        <v>41</v>
      </c>
      <c r="E16" s="28">
        <f t="shared" si="0"/>
        <v>5</v>
      </c>
      <c r="F16" s="29" t="s">
        <v>42</v>
      </c>
      <c r="G16" s="30" t="s">
        <v>43</v>
      </c>
      <c r="H16" s="31" t="s">
        <v>44</v>
      </c>
      <c r="I16" s="32">
        <f>[1]Итог!D40</f>
        <v>2.7789999999999999</v>
      </c>
      <c r="J16" s="33">
        <f>[1]Ведомость!D47</f>
        <v>10470</v>
      </c>
      <c r="K16" s="34">
        <f t="shared" si="1"/>
        <v>35497.278599999998</v>
      </c>
      <c r="M16" s="10"/>
      <c r="O16" s="10">
        <v>3.0329999999999999</v>
      </c>
      <c r="P16" s="16"/>
      <c r="Q16" s="17"/>
      <c r="R16" s="17"/>
      <c r="S16" s="5"/>
    </row>
    <row r="17" spans="1:19">
      <c r="A17" s="1" t="s">
        <v>22</v>
      </c>
      <c r="B17" s="27" t="s">
        <v>45</v>
      </c>
      <c r="C17" s="27" t="s">
        <v>46</v>
      </c>
      <c r="D17" s="27" t="s">
        <v>47</v>
      </c>
      <c r="E17" s="28">
        <f t="shared" si="0"/>
        <v>6</v>
      </c>
      <c r="F17" s="29" t="s">
        <v>48</v>
      </c>
      <c r="G17" s="30" t="s">
        <v>49</v>
      </c>
      <c r="H17" s="31" t="s">
        <v>50</v>
      </c>
      <c r="I17" s="32">
        <f>[1]Итог!D41</f>
        <v>3.0329999999999999</v>
      </c>
      <c r="J17" s="33">
        <f>[1]Ведомость!D48</f>
        <v>10470</v>
      </c>
      <c r="K17" s="34">
        <f t="shared" si="1"/>
        <v>38741.722199999997</v>
      </c>
      <c r="M17" s="10"/>
      <c r="O17" s="10">
        <v>3.1</v>
      </c>
      <c r="P17" s="16"/>
      <c r="Q17" s="17"/>
      <c r="R17" s="17"/>
      <c r="S17" s="5"/>
    </row>
    <row r="18" spans="1:19">
      <c r="A18" s="1" t="s">
        <v>22</v>
      </c>
      <c r="B18" s="38" t="s">
        <v>51</v>
      </c>
      <c r="C18" s="27" t="s">
        <v>52</v>
      </c>
      <c r="D18" s="27"/>
      <c r="E18" s="28">
        <f t="shared" si="0"/>
        <v>7</v>
      </c>
      <c r="F18" s="29" t="s">
        <v>53</v>
      </c>
      <c r="G18" s="30" t="s">
        <v>54</v>
      </c>
      <c r="H18" s="31" t="s">
        <v>55</v>
      </c>
      <c r="I18" s="39">
        <f>[1]Итог!D43</f>
        <v>4.0739999999999998</v>
      </c>
      <c r="J18" s="33">
        <f>[1]Ведомость!D50</f>
        <v>10470</v>
      </c>
      <c r="K18" s="34">
        <f t="shared" si="1"/>
        <v>52038.831599999998</v>
      </c>
      <c r="M18" s="10"/>
      <c r="O18" s="10">
        <v>43.609000000000002</v>
      </c>
      <c r="P18" s="16"/>
      <c r="Q18" s="17"/>
      <c r="R18" s="17"/>
      <c r="S18" s="5"/>
    </row>
    <row r="19" spans="1:19">
      <c r="B19" s="27" t="s">
        <v>56</v>
      </c>
      <c r="C19" s="27"/>
      <c r="D19" s="27"/>
      <c r="E19" s="28">
        <f t="shared" si="0"/>
        <v>8</v>
      </c>
      <c r="F19" s="29" t="s">
        <v>57</v>
      </c>
      <c r="G19" s="30" t="s">
        <v>58</v>
      </c>
      <c r="H19" s="40" t="s">
        <v>59</v>
      </c>
      <c r="I19" s="32">
        <f>[1]Итог!C14</f>
        <v>0</v>
      </c>
      <c r="J19" s="41">
        <f>[1]Ведомость!D22</f>
        <v>8940</v>
      </c>
      <c r="K19" s="34">
        <f t="shared" si="1"/>
        <v>0</v>
      </c>
      <c r="L19" s="42"/>
      <c r="M19" s="10"/>
      <c r="O19" s="10">
        <v>9.6669999999999998</v>
      </c>
      <c r="P19" s="16"/>
      <c r="Q19" s="17"/>
      <c r="R19" s="17"/>
      <c r="S19" s="5"/>
    </row>
    <row r="20" spans="1:19">
      <c r="A20" s="1" t="s">
        <v>22</v>
      </c>
      <c r="B20" s="27" t="s">
        <v>60</v>
      </c>
      <c r="C20" s="27" t="s">
        <v>61</v>
      </c>
      <c r="D20" s="27"/>
      <c r="E20" s="28">
        <f t="shared" si="0"/>
        <v>9</v>
      </c>
      <c r="F20" s="29" t="s">
        <v>62</v>
      </c>
      <c r="G20" s="30" t="s">
        <v>63</v>
      </c>
      <c r="H20" s="31" t="s">
        <v>64</v>
      </c>
      <c r="I20" s="32">
        <f>[1]Итог!D44</f>
        <v>12.42</v>
      </c>
      <c r="J20" s="33">
        <f>[1]Ведомость!D51</f>
        <v>10470</v>
      </c>
      <c r="K20" s="34">
        <f t="shared" si="1"/>
        <v>158645.628</v>
      </c>
      <c r="M20" s="10"/>
      <c r="O20" s="10">
        <v>66.680000000000007</v>
      </c>
      <c r="P20" s="16"/>
      <c r="Q20" s="17"/>
      <c r="R20" s="17"/>
      <c r="S20" s="5"/>
    </row>
    <row r="21" spans="1:19">
      <c r="B21" s="27" t="s">
        <v>65</v>
      </c>
      <c r="C21" s="27" t="s">
        <v>66</v>
      </c>
      <c r="D21" s="27"/>
      <c r="E21" s="28">
        <f t="shared" si="0"/>
        <v>10</v>
      </c>
      <c r="F21" s="29" t="s">
        <v>67</v>
      </c>
      <c r="G21" s="30" t="s">
        <v>68</v>
      </c>
      <c r="H21" s="31" t="s">
        <v>69</v>
      </c>
      <c r="I21" s="32">
        <f>[1]Итог!D34</f>
        <v>16.635000000000002</v>
      </c>
      <c r="J21" s="33">
        <f>[1]Ведомость!D42</f>
        <v>10470</v>
      </c>
      <c r="K21" s="34">
        <f t="shared" si="1"/>
        <v>212485.50900000002</v>
      </c>
      <c r="M21" s="10"/>
      <c r="O21" s="10">
        <v>0.32200000000000001</v>
      </c>
      <c r="P21" s="16"/>
      <c r="Q21" s="17"/>
      <c r="R21" s="17"/>
      <c r="S21" s="5"/>
    </row>
    <row r="22" spans="1:19" ht="15.75">
      <c r="A22" s="1" t="s">
        <v>22</v>
      </c>
      <c r="B22" s="43" t="s">
        <v>70</v>
      </c>
      <c r="C22" s="27" t="s">
        <v>71</v>
      </c>
      <c r="D22" s="27" t="s">
        <v>72</v>
      </c>
      <c r="E22" s="44">
        <f t="shared" si="0"/>
        <v>11</v>
      </c>
      <c r="F22" s="45" t="s">
        <v>73</v>
      </c>
      <c r="G22" s="30" t="s">
        <v>74</v>
      </c>
      <c r="H22" s="31" t="s">
        <v>75</v>
      </c>
      <c r="I22" s="32">
        <f>[1]Итог!D45</f>
        <v>3.1</v>
      </c>
      <c r="J22" s="33">
        <f>[1]Ведомость!D52</f>
        <v>10470</v>
      </c>
      <c r="K22" s="34">
        <f t="shared" si="1"/>
        <v>39597.54</v>
      </c>
      <c r="M22" s="10"/>
      <c r="O22" s="10">
        <v>0.10299999999999999</v>
      </c>
      <c r="P22" s="37"/>
      <c r="Q22" s="17"/>
      <c r="R22" s="17"/>
      <c r="S22" s="5"/>
    </row>
    <row r="23" spans="1:19" ht="12" customHeight="1">
      <c r="A23" s="1" t="s">
        <v>22</v>
      </c>
      <c r="B23" s="27" t="s">
        <v>76</v>
      </c>
      <c r="C23" s="27" t="s">
        <v>77</v>
      </c>
      <c r="D23" s="27" t="s">
        <v>78</v>
      </c>
      <c r="E23" s="44">
        <f t="shared" si="0"/>
        <v>12</v>
      </c>
      <c r="F23" s="45" t="s">
        <v>79</v>
      </c>
      <c r="G23" s="30" t="s">
        <v>80</v>
      </c>
      <c r="H23" s="31" t="s">
        <v>81</v>
      </c>
      <c r="I23" s="32">
        <f>[1]Итог!D48</f>
        <v>43.609000000000002</v>
      </c>
      <c r="J23" s="33">
        <f>[1]Ведомость!D54</f>
        <v>10470</v>
      </c>
      <c r="K23" s="34">
        <f t="shared" si="1"/>
        <v>557035.20059999998</v>
      </c>
      <c r="M23" s="10"/>
      <c r="O23" s="10">
        <v>24.077000000000002</v>
      </c>
      <c r="P23" s="16"/>
      <c r="Q23" s="17"/>
      <c r="R23" s="17"/>
      <c r="S23" s="5"/>
    </row>
    <row r="24" spans="1:19" ht="12" customHeight="1">
      <c r="B24" s="27" t="s">
        <v>82</v>
      </c>
      <c r="C24" s="46" t="s">
        <v>83</v>
      </c>
      <c r="D24" s="27"/>
      <c r="E24" s="44">
        <f t="shared" si="0"/>
        <v>13</v>
      </c>
      <c r="F24" s="45" t="s">
        <v>84</v>
      </c>
      <c r="G24" s="30" t="s">
        <v>85</v>
      </c>
      <c r="H24" s="31" t="s">
        <v>86</v>
      </c>
      <c r="I24" s="32">
        <f>[1]Итог!D49</f>
        <v>9.6669999999999998</v>
      </c>
      <c r="J24" s="33">
        <f>[1]Ведомость!D55</f>
        <v>10470</v>
      </c>
      <c r="K24" s="34">
        <f t="shared" si="1"/>
        <v>123480.4578</v>
      </c>
      <c r="M24" s="10"/>
      <c r="O24" s="10">
        <v>4.9139999999999997</v>
      </c>
      <c r="P24" s="16"/>
      <c r="Q24" s="17"/>
      <c r="R24" s="17"/>
      <c r="S24" s="5"/>
    </row>
    <row r="25" spans="1:19">
      <c r="A25" s="1" t="s">
        <v>22</v>
      </c>
      <c r="B25" s="38" t="s">
        <v>87</v>
      </c>
      <c r="C25" s="27" t="s">
        <v>88</v>
      </c>
      <c r="D25" s="27" t="s">
        <v>89</v>
      </c>
      <c r="E25" s="44">
        <f t="shared" si="0"/>
        <v>14</v>
      </c>
      <c r="F25" s="29" t="s">
        <v>90</v>
      </c>
      <c r="G25" s="47">
        <v>781407520703</v>
      </c>
      <c r="H25" s="40" t="s">
        <v>91</v>
      </c>
      <c r="I25" s="32">
        <f>[1]Итог!D51</f>
        <v>87.129000000000005</v>
      </c>
      <c r="J25" s="33">
        <f>[1]Ведомость!D58</f>
        <v>10470</v>
      </c>
      <c r="K25" s="34">
        <f t="shared" si="1"/>
        <v>1112933.5685999999</v>
      </c>
      <c r="L25" s="48"/>
      <c r="M25" s="10"/>
      <c r="O25" s="10">
        <v>11.1</v>
      </c>
      <c r="P25" s="16"/>
      <c r="Q25" s="17"/>
      <c r="R25" s="17"/>
      <c r="S25" s="5"/>
    </row>
    <row r="26" spans="1:19">
      <c r="A26" s="1" t="s">
        <v>22</v>
      </c>
      <c r="B26" s="27" t="s">
        <v>92</v>
      </c>
      <c r="C26" s="27" t="s">
        <v>93</v>
      </c>
      <c r="D26" s="27" t="s">
        <v>94</v>
      </c>
      <c r="E26" s="44">
        <f t="shared" si="0"/>
        <v>15</v>
      </c>
      <c r="F26" s="45" t="s">
        <v>95</v>
      </c>
      <c r="G26" s="30" t="s">
        <v>96</v>
      </c>
      <c r="H26" s="49" t="s">
        <v>97</v>
      </c>
      <c r="I26" s="50">
        <f>[1]Итог!D8</f>
        <v>66.680000000000007</v>
      </c>
      <c r="J26" s="41">
        <f>[1]Ведомость!D15</f>
        <v>8940</v>
      </c>
      <c r="K26" s="34">
        <f t="shared" si="1"/>
        <v>727265.42400000012</v>
      </c>
      <c r="M26" s="10"/>
      <c r="O26" s="10">
        <v>109.2</v>
      </c>
      <c r="P26" s="16"/>
      <c r="Q26" s="17"/>
      <c r="R26" s="17"/>
      <c r="S26" s="5"/>
    </row>
    <row r="27" spans="1:19">
      <c r="B27" s="27" t="s">
        <v>98</v>
      </c>
      <c r="C27" s="27" t="s">
        <v>99</v>
      </c>
      <c r="D27" s="27"/>
      <c r="E27" s="44">
        <f t="shared" si="0"/>
        <v>16</v>
      </c>
      <c r="F27" s="45" t="s">
        <v>100</v>
      </c>
      <c r="G27" s="30" t="s">
        <v>101</v>
      </c>
      <c r="H27" s="31" t="s">
        <v>102</v>
      </c>
      <c r="I27" s="32">
        <f>[1]Итог!D52</f>
        <v>0.32200000000000001</v>
      </c>
      <c r="J27" s="33">
        <f>[1]Ведомость!D59</f>
        <v>10470</v>
      </c>
      <c r="K27" s="34">
        <f t="shared" si="1"/>
        <v>4113.0348000000004</v>
      </c>
      <c r="M27" s="10"/>
      <c r="O27" s="10">
        <v>1.1839999999999999</v>
      </c>
      <c r="P27" s="16"/>
      <c r="Q27" s="17"/>
      <c r="R27" s="17"/>
      <c r="S27" s="5"/>
    </row>
    <row r="28" spans="1:19">
      <c r="A28" s="1" t="s">
        <v>22</v>
      </c>
      <c r="B28" s="27" t="s">
        <v>103</v>
      </c>
      <c r="C28" s="27" t="s">
        <v>104</v>
      </c>
      <c r="D28" s="27"/>
      <c r="E28" s="44">
        <f t="shared" si="0"/>
        <v>17</v>
      </c>
      <c r="F28" s="45" t="s">
        <v>105</v>
      </c>
      <c r="G28" s="30" t="s">
        <v>106</v>
      </c>
      <c r="H28" s="31" t="s">
        <v>107</v>
      </c>
      <c r="I28" s="32">
        <f>[1]Итог!D53</f>
        <v>0.10299999999999999</v>
      </c>
      <c r="J28" s="33">
        <f>[1]Ведомость!D60</f>
        <v>10470</v>
      </c>
      <c r="K28" s="34">
        <f t="shared" si="1"/>
        <v>1315.6601999999998</v>
      </c>
      <c r="M28" s="10"/>
      <c r="O28" s="10">
        <v>1.46</v>
      </c>
      <c r="P28" s="16"/>
      <c r="Q28" s="17"/>
      <c r="R28" s="17"/>
      <c r="S28" s="5"/>
    </row>
    <row r="29" spans="1:19">
      <c r="A29" s="1" t="s">
        <v>22</v>
      </c>
      <c r="B29" s="27" t="s">
        <v>108</v>
      </c>
      <c r="C29" s="27" t="s">
        <v>109</v>
      </c>
      <c r="D29" s="27" t="s">
        <v>110</v>
      </c>
      <c r="E29" s="44">
        <f t="shared" si="0"/>
        <v>18</v>
      </c>
      <c r="F29" s="45" t="s">
        <v>111</v>
      </c>
      <c r="G29" s="30" t="s">
        <v>112</v>
      </c>
      <c r="H29" s="31" t="s">
        <v>113</v>
      </c>
      <c r="I29" s="32">
        <f>[1]Итог!D54</f>
        <v>0.97499999999999998</v>
      </c>
      <c r="J29" s="33">
        <f>[1]Ведомость!D62</f>
        <v>10470</v>
      </c>
      <c r="K29" s="34">
        <f t="shared" si="1"/>
        <v>12454.065000000001</v>
      </c>
      <c r="M29" s="10"/>
      <c r="O29" s="10">
        <v>210.453</v>
      </c>
      <c r="P29" s="16"/>
      <c r="Q29" s="17"/>
      <c r="R29" s="17"/>
      <c r="S29" s="5"/>
    </row>
    <row r="30" spans="1:19">
      <c r="A30" s="1" t="s">
        <v>22</v>
      </c>
      <c r="B30" s="27" t="s">
        <v>114</v>
      </c>
      <c r="C30" s="27" t="s">
        <v>115</v>
      </c>
      <c r="D30" s="27"/>
      <c r="E30" s="44">
        <f t="shared" si="0"/>
        <v>19</v>
      </c>
      <c r="F30" s="45" t="s">
        <v>116</v>
      </c>
      <c r="G30" s="30" t="s">
        <v>117</v>
      </c>
      <c r="H30" s="31" t="s">
        <v>118</v>
      </c>
      <c r="I30" s="32">
        <f>[1]Итог!D55</f>
        <v>6.5000000000000002E-2</v>
      </c>
      <c r="J30" s="33">
        <f>[1]Ведомость!D63</f>
        <v>10470</v>
      </c>
      <c r="K30" s="34">
        <f t="shared" si="1"/>
        <v>830.27100000000007</v>
      </c>
      <c r="M30" s="10"/>
      <c r="O30" s="10">
        <v>0.4</v>
      </c>
      <c r="P30" s="16"/>
      <c r="Q30" s="17"/>
      <c r="R30" s="17"/>
      <c r="S30" s="5"/>
    </row>
    <row r="31" spans="1:19">
      <c r="B31" s="27" t="s">
        <v>119</v>
      </c>
      <c r="C31" s="27" t="s">
        <v>120</v>
      </c>
      <c r="D31" s="27" t="s">
        <v>121</v>
      </c>
      <c r="E31" s="44">
        <f t="shared" si="0"/>
        <v>20</v>
      </c>
      <c r="F31" s="45" t="s">
        <v>122</v>
      </c>
      <c r="G31" s="30" t="s">
        <v>123</v>
      </c>
      <c r="H31" s="31" t="s">
        <v>124</v>
      </c>
      <c r="I31" s="32">
        <f>[1]Итог!D56</f>
        <v>78.935000000000002</v>
      </c>
      <c r="J31" s="33">
        <f>[1]Ведомость!D64</f>
        <v>10470</v>
      </c>
      <c r="K31" s="34">
        <f t="shared" si="1"/>
        <v>1008268.329</v>
      </c>
      <c r="M31" s="10"/>
      <c r="O31" s="10">
        <v>2.5790000000000002</v>
      </c>
      <c r="P31" s="16"/>
      <c r="Q31" s="17"/>
      <c r="R31" s="17"/>
      <c r="S31" s="5"/>
    </row>
    <row r="32" spans="1:19">
      <c r="A32" s="51" t="s">
        <v>22</v>
      </c>
      <c r="B32" s="27" t="s">
        <v>125</v>
      </c>
      <c r="C32" s="52" t="s">
        <v>126</v>
      </c>
      <c r="D32" s="27" t="s">
        <v>127</v>
      </c>
      <c r="E32" s="44">
        <f t="shared" si="0"/>
        <v>21</v>
      </c>
      <c r="F32" s="45" t="s">
        <v>128</v>
      </c>
      <c r="G32" s="53" t="s">
        <v>129</v>
      </c>
      <c r="H32" s="31" t="s">
        <v>130</v>
      </c>
      <c r="I32" s="32">
        <f>[1]Итог!D58</f>
        <v>16.86</v>
      </c>
      <c r="J32" s="33">
        <f>[1]Ведомость!D66</f>
        <v>10470</v>
      </c>
      <c r="K32" s="34">
        <f t="shared" si="1"/>
        <v>215359.52399999998</v>
      </c>
      <c r="M32" s="10"/>
      <c r="O32" s="10">
        <v>6.0720000000000001</v>
      </c>
      <c r="P32" s="16"/>
      <c r="Q32" s="35"/>
      <c r="R32" s="17"/>
      <c r="S32" s="5"/>
    </row>
    <row r="33" spans="1:19">
      <c r="B33" s="27" t="s">
        <v>131</v>
      </c>
      <c r="C33" s="27" t="s">
        <v>132</v>
      </c>
      <c r="D33" s="27" t="s">
        <v>133</v>
      </c>
      <c r="E33" s="44">
        <f t="shared" si="0"/>
        <v>22</v>
      </c>
      <c r="F33" s="45" t="s">
        <v>134</v>
      </c>
      <c r="G33" s="30" t="s">
        <v>135</v>
      </c>
      <c r="H33" s="31" t="s">
        <v>136</v>
      </c>
      <c r="I33" s="32">
        <f>[1]Итог!D106</f>
        <v>24.077000000000002</v>
      </c>
      <c r="J33" s="33">
        <f>[1]Ведомость!D114</f>
        <v>10470</v>
      </c>
      <c r="K33" s="34">
        <f t="shared" si="1"/>
        <v>307545.15180000005</v>
      </c>
      <c r="M33" s="10"/>
      <c r="O33" s="10">
        <v>685.64800000000002</v>
      </c>
      <c r="P33" s="16"/>
      <c r="Q33" s="17"/>
      <c r="R33" s="17"/>
      <c r="S33" s="5"/>
    </row>
    <row r="34" spans="1:19" s="61" customFormat="1">
      <c r="A34" s="54" t="s">
        <v>22</v>
      </c>
      <c r="B34" s="55" t="s">
        <v>137</v>
      </c>
      <c r="C34" s="55" t="s">
        <v>138</v>
      </c>
      <c r="D34" s="55" t="s">
        <v>139</v>
      </c>
      <c r="E34" s="56">
        <f t="shared" si="0"/>
        <v>23</v>
      </c>
      <c r="F34" s="57" t="s">
        <v>140</v>
      </c>
      <c r="G34" s="58" t="s">
        <v>141</v>
      </c>
      <c r="H34" s="31" t="s">
        <v>142</v>
      </c>
      <c r="I34" s="32">
        <f>[1]Итог!D62</f>
        <v>4.9139999999999997</v>
      </c>
      <c r="J34" s="59">
        <f>[1]Ведомость!D114</f>
        <v>10470</v>
      </c>
      <c r="K34" s="60">
        <f t="shared" si="1"/>
        <v>62768.487599999993</v>
      </c>
      <c r="M34" s="62"/>
      <c r="O34" s="10">
        <v>0.24199999999999999</v>
      </c>
      <c r="P34" s="63"/>
      <c r="Q34" s="64"/>
      <c r="R34" s="64"/>
      <c r="S34" s="65"/>
    </row>
    <row r="35" spans="1:19">
      <c r="A35" s="1" t="s">
        <v>22</v>
      </c>
      <c r="B35" s="27" t="s">
        <v>143</v>
      </c>
      <c r="C35">
        <v>79214035203</v>
      </c>
      <c r="D35" s="27" t="s">
        <v>144</v>
      </c>
      <c r="E35" s="44">
        <f t="shared" si="0"/>
        <v>24</v>
      </c>
      <c r="F35" s="45" t="s">
        <v>145</v>
      </c>
      <c r="G35" s="30" t="s">
        <v>146</v>
      </c>
      <c r="H35" s="31" t="s">
        <v>147</v>
      </c>
      <c r="I35" s="32">
        <f>[1]Итог!D63</f>
        <v>11.1</v>
      </c>
      <c r="J35" s="33">
        <f>[1]Ведомость!D70</f>
        <v>10470</v>
      </c>
      <c r="K35" s="34">
        <f t="shared" si="1"/>
        <v>141784.74</v>
      </c>
      <c r="M35" s="10"/>
      <c r="O35" s="10">
        <v>62.170999999999999</v>
      </c>
      <c r="P35" s="16"/>
      <c r="Q35" s="17"/>
      <c r="R35" s="17"/>
      <c r="S35" s="5"/>
    </row>
    <row r="36" spans="1:19">
      <c r="A36" s="1" t="s">
        <v>22</v>
      </c>
      <c r="B36" s="38" t="s">
        <v>148</v>
      </c>
      <c r="C36" s="27" t="s">
        <v>149</v>
      </c>
      <c r="D36" s="27" t="s">
        <v>150</v>
      </c>
      <c r="E36" s="44">
        <f t="shared" si="0"/>
        <v>25</v>
      </c>
      <c r="F36" s="45" t="s">
        <v>151</v>
      </c>
      <c r="G36" s="30" t="s">
        <v>152</v>
      </c>
      <c r="H36" s="31" t="s">
        <v>153</v>
      </c>
      <c r="I36" s="32">
        <f>[1]Итог!D64</f>
        <v>109.2</v>
      </c>
      <c r="J36" s="33">
        <f>[1]Ведомость!D71</f>
        <v>10470</v>
      </c>
      <c r="K36" s="34">
        <f t="shared" si="1"/>
        <v>1394855.28</v>
      </c>
      <c r="M36" s="10"/>
      <c r="O36" s="10">
        <v>0.66</v>
      </c>
      <c r="P36" s="16"/>
      <c r="Q36" s="17"/>
      <c r="R36" s="17"/>
      <c r="S36" s="5"/>
    </row>
    <row r="37" spans="1:19">
      <c r="A37" s="1" t="s">
        <v>22</v>
      </c>
      <c r="B37" s="27" t="s">
        <v>154</v>
      </c>
      <c r="C37" s="27" t="s">
        <v>155</v>
      </c>
      <c r="D37" s="27" t="s">
        <v>156</v>
      </c>
      <c r="E37" s="44">
        <f t="shared" si="0"/>
        <v>26</v>
      </c>
      <c r="F37" s="45" t="s">
        <v>157</v>
      </c>
      <c r="G37" s="30" t="s">
        <v>158</v>
      </c>
      <c r="H37" s="31" t="s">
        <v>159</v>
      </c>
      <c r="I37" s="32">
        <f>[1]Итог!D65</f>
        <v>1.1839999999999999</v>
      </c>
      <c r="J37" s="33">
        <f>[1]Ведомость!D72</f>
        <v>10470</v>
      </c>
      <c r="K37" s="34">
        <f t="shared" si="1"/>
        <v>15123.705599999999</v>
      </c>
      <c r="L37" s="6"/>
      <c r="M37" s="10"/>
      <c r="O37" s="10">
        <v>7.4450000000000003</v>
      </c>
      <c r="P37" s="16"/>
      <c r="Q37" s="17"/>
      <c r="R37" s="17"/>
    </row>
    <row r="38" spans="1:19">
      <c r="A38" s="1" t="s">
        <v>22</v>
      </c>
      <c r="B38" s="27" t="s">
        <v>160</v>
      </c>
      <c r="C38" s="27" t="s">
        <v>161</v>
      </c>
      <c r="D38" s="27"/>
      <c r="E38" s="44">
        <f t="shared" si="0"/>
        <v>27</v>
      </c>
      <c r="F38" s="45" t="s">
        <v>162</v>
      </c>
      <c r="G38" s="30" t="s">
        <v>163</v>
      </c>
      <c r="H38" s="31" t="s">
        <v>164</v>
      </c>
      <c r="I38" s="32">
        <f>[1]Итог!D66</f>
        <v>1.46</v>
      </c>
      <c r="J38" s="33">
        <f>[1]Ведомость!D73</f>
        <v>10470</v>
      </c>
      <c r="K38" s="34">
        <f t="shared" si="1"/>
        <v>18649.163999999997</v>
      </c>
      <c r="M38" s="10"/>
      <c r="O38" s="10">
        <v>18</v>
      </c>
      <c r="P38" s="16"/>
      <c r="Q38" s="17"/>
      <c r="R38" s="17"/>
      <c r="S38" s="5"/>
    </row>
    <row r="39" spans="1:19">
      <c r="A39" s="1" t="s">
        <v>22</v>
      </c>
      <c r="B39" s="27" t="s">
        <v>165</v>
      </c>
      <c r="C39" s="27" t="s">
        <v>166</v>
      </c>
      <c r="D39" s="27"/>
      <c r="E39" s="44">
        <f t="shared" si="0"/>
        <v>28</v>
      </c>
      <c r="F39" s="45" t="s">
        <v>167</v>
      </c>
      <c r="G39" s="30" t="s">
        <v>168</v>
      </c>
      <c r="H39" s="31" t="s">
        <v>169</v>
      </c>
      <c r="I39" s="32">
        <f>[1]Итог!D67</f>
        <v>210.453</v>
      </c>
      <c r="J39" s="33">
        <f>[1]Ведомость!D74</f>
        <v>10470</v>
      </c>
      <c r="K39" s="34">
        <f t="shared" si="1"/>
        <v>2688200.3502000002</v>
      </c>
      <c r="M39" s="10"/>
      <c r="O39" s="10">
        <v>225.99</v>
      </c>
      <c r="P39" s="37"/>
      <c r="Q39" s="17"/>
      <c r="R39" s="17"/>
      <c r="S39" s="5"/>
    </row>
    <row r="40" spans="1:19">
      <c r="A40" s="1" t="s">
        <v>22</v>
      </c>
      <c r="B40" s="27" t="s">
        <v>170</v>
      </c>
      <c r="C40" s="27" t="s">
        <v>171</v>
      </c>
      <c r="D40" s="27"/>
      <c r="E40" s="44">
        <f t="shared" si="0"/>
        <v>29</v>
      </c>
      <c r="F40" s="45" t="s">
        <v>172</v>
      </c>
      <c r="G40" s="30" t="s">
        <v>173</v>
      </c>
      <c r="H40" s="31" t="s">
        <v>174</v>
      </c>
      <c r="I40" s="32">
        <f>[1]Итог!D68</f>
        <v>0.4</v>
      </c>
      <c r="J40" s="33">
        <f>[1]Ведомость!D75</f>
        <v>10470</v>
      </c>
      <c r="K40" s="34">
        <f t="shared" si="1"/>
        <v>5109.3599999999997</v>
      </c>
      <c r="M40" s="10"/>
      <c r="O40" s="10">
        <v>124.467</v>
      </c>
      <c r="P40" s="16"/>
      <c r="Q40" s="17"/>
      <c r="R40" s="17"/>
      <c r="S40" s="5"/>
    </row>
    <row r="41" spans="1:19">
      <c r="B41" s="27" t="s">
        <v>175</v>
      </c>
      <c r="C41" s="27">
        <v>989219055882</v>
      </c>
      <c r="D41" s="27"/>
      <c r="E41" s="44">
        <f t="shared" si="0"/>
        <v>30</v>
      </c>
      <c r="F41" s="45" t="s">
        <v>176</v>
      </c>
      <c r="G41" s="30" t="s">
        <v>177</v>
      </c>
      <c r="H41" s="31" t="s">
        <v>178</v>
      </c>
      <c r="I41" s="32">
        <f>[1]Итог!D69</f>
        <v>2.5790000000000002</v>
      </c>
      <c r="J41" s="33">
        <f>[1]Ведомость!D76</f>
        <v>10470</v>
      </c>
      <c r="K41" s="34">
        <f t="shared" si="1"/>
        <v>32942.598599999998</v>
      </c>
      <c r="M41" s="10"/>
      <c r="O41" s="10">
        <v>385.01</v>
      </c>
      <c r="P41" s="16"/>
      <c r="Q41" s="17"/>
      <c r="R41" s="17"/>
      <c r="S41" s="5"/>
    </row>
    <row r="42" spans="1:19">
      <c r="A42" s="1" t="s">
        <v>22</v>
      </c>
      <c r="B42" s="27" t="s">
        <v>179</v>
      </c>
      <c r="C42" s="27" t="s">
        <v>180</v>
      </c>
      <c r="D42" s="27"/>
      <c r="E42" s="44">
        <f t="shared" si="0"/>
        <v>31</v>
      </c>
      <c r="F42" s="45" t="s">
        <v>181</v>
      </c>
      <c r="G42" s="30" t="s">
        <v>182</v>
      </c>
      <c r="H42" s="31" t="s">
        <v>183</v>
      </c>
      <c r="I42" s="32">
        <f>[1]Итог!D71</f>
        <v>6.0720000000000001</v>
      </c>
      <c r="J42" s="33">
        <f>[1]Ведомость!D78</f>
        <v>10470</v>
      </c>
      <c r="K42" s="34">
        <f t="shared" si="1"/>
        <v>77560.084799999997</v>
      </c>
      <c r="M42" s="10"/>
      <c r="O42" s="10">
        <v>1.0980000000000001</v>
      </c>
      <c r="P42" s="37"/>
      <c r="Q42" s="17"/>
      <c r="R42" s="17"/>
      <c r="S42" s="5"/>
    </row>
    <row r="43" spans="1:19" ht="30" customHeight="1">
      <c r="A43" s="1" t="s">
        <v>22</v>
      </c>
      <c r="B43" s="66" t="s">
        <v>184</v>
      </c>
      <c r="C43" s="66" t="s">
        <v>185</v>
      </c>
      <c r="D43" s="66"/>
      <c r="E43" s="44">
        <f t="shared" si="0"/>
        <v>32</v>
      </c>
      <c r="F43" s="67" t="s">
        <v>186</v>
      </c>
      <c r="G43" s="68" t="s">
        <v>187</v>
      </c>
      <c r="H43" s="69" t="s">
        <v>188</v>
      </c>
      <c r="I43" s="32">
        <f>[1]Итог!D72</f>
        <v>3</v>
      </c>
      <c r="J43" s="33">
        <f>[1]Ведомость!D79</f>
        <v>10470</v>
      </c>
      <c r="K43" s="34">
        <f t="shared" si="1"/>
        <v>38320.199999999997</v>
      </c>
      <c r="M43" s="10"/>
      <c r="O43" s="10">
        <v>3.5640000000000001</v>
      </c>
      <c r="P43" s="16"/>
      <c r="Q43" s="17"/>
      <c r="R43" s="17"/>
    </row>
    <row r="44" spans="1:19" ht="15">
      <c r="B44" s="38" t="s">
        <v>189</v>
      </c>
      <c r="C44" s="70" t="s">
        <v>190</v>
      </c>
      <c r="D44" s="71"/>
      <c r="E44" s="44">
        <f t="shared" si="0"/>
        <v>33</v>
      </c>
      <c r="F44" s="45" t="s">
        <v>191</v>
      </c>
      <c r="G44" s="30" t="s">
        <v>192</v>
      </c>
      <c r="H44" s="49" t="s">
        <v>193</v>
      </c>
      <c r="I44" s="50">
        <f>[1]Итог!D23</f>
        <v>685.64800000000002</v>
      </c>
      <c r="J44" s="41">
        <f>[1]Ведомость!I289*1000</f>
        <v>8460</v>
      </c>
      <c r="K44" s="34">
        <f t="shared" si="1"/>
        <v>7076710.1376</v>
      </c>
      <c r="M44" s="10"/>
      <c r="O44" s="10">
        <v>22.712</v>
      </c>
      <c r="P44" s="16"/>
      <c r="Q44" s="17"/>
      <c r="R44" s="17"/>
      <c r="S44" s="5"/>
    </row>
    <row r="45" spans="1:19">
      <c r="A45" s="1" t="s">
        <v>22</v>
      </c>
      <c r="B45" s="27" t="s">
        <v>194</v>
      </c>
      <c r="C45" s="27" t="s">
        <v>195</v>
      </c>
      <c r="D45" s="27" t="s">
        <v>196</v>
      </c>
      <c r="E45" s="44">
        <f t="shared" si="0"/>
        <v>34</v>
      </c>
      <c r="F45" s="45" t="s">
        <v>197</v>
      </c>
      <c r="G45" s="30" t="s">
        <v>198</v>
      </c>
      <c r="H45" s="31" t="s">
        <v>199</v>
      </c>
      <c r="I45" s="32">
        <f>[1]Итог!D75</f>
        <v>2.3330000000000002</v>
      </c>
      <c r="J45" s="33">
        <f>[1]Ведомость!D82</f>
        <v>10470</v>
      </c>
      <c r="K45" s="34">
        <f t="shared" si="1"/>
        <v>29800.342200000003</v>
      </c>
      <c r="M45" s="10"/>
      <c r="O45" s="10">
        <v>0.32100000000000001</v>
      </c>
      <c r="P45" s="16"/>
      <c r="Q45" s="17"/>
      <c r="R45" s="17"/>
    </row>
    <row r="46" spans="1:19">
      <c r="A46" s="1" t="s">
        <v>22</v>
      </c>
      <c r="B46" s="27" t="s">
        <v>200</v>
      </c>
      <c r="C46" s="27" t="s">
        <v>201</v>
      </c>
      <c r="D46" s="27"/>
      <c r="E46" s="44">
        <f t="shared" si="0"/>
        <v>35</v>
      </c>
      <c r="F46" s="45" t="s">
        <v>202</v>
      </c>
      <c r="G46" s="30" t="s">
        <v>203</v>
      </c>
      <c r="H46" s="31" t="s">
        <v>204</v>
      </c>
      <c r="I46" s="32">
        <f>[1]Итог!D76</f>
        <v>0.24199999999999999</v>
      </c>
      <c r="J46" s="33">
        <f>[1]Ведомость!D83</f>
        <v>10470</v>
      </c>
      <c r="K46" s="34">
        <f t="shared" si="1"/>
        <v>3091.1627999999996</v>
      </c>
      <c r="M46" s="10"/>
      <c r="O46" s="10">
        <v>2.2330000000000001</v>
      </c>
      <c r="P46" s="16"/>
      <c r="Q46" s="17"/>
      <c r="R46" s="17"/>
      <c r="S46" s="5"/>
    </row>
    <row r="47" spans="1:19">
      <c r="A47" s="1" t="s">
        <v>22</v>
      </c>
      <c r="B47" s="27" t="s">
        <v>205</v>
      </c>
      <c r="C47" s="27" t="s">
        <v>206</v>
      </c>
      <c r="D47" s="27"/>
      <c r="E47" s="44">
        <f t="shared" si="0"/>
        <v>36</v>
      </c>
      <c r="F47" s="45" t="s">
        <v>207</v>
      </c>
      <c r="G47" s="30" t="s">
        <v>208</v>
      </c>
      <c r="H47" s="31" t="s">
        <v>209</v>
      </c>
      <c r="I47" s="32">
        <f>[1]Итог!D77</f>
        <v>62.170999999999999</v>
      </c>
      <c r="J47" s="33">
        <f>[1]Ведомость!D84</f>
        <v>10470</v>
      </c>
      <c r="K47" s="34">
        <f t="shared" si="1"/>
        <v>794135.0514</v>
      </c>
      <c r="M47" s="10"/>
      <c r="O47" s="10">
        <v>4.3650000000000002</v>
      </c>
      <c r="P47" s="16"/>
      <c r="Q47" s="17"/>
      <c r="R47" s="17"/>
      <c r="S47" s="5"/>
    </row>
    <row r="48" spans="1:19">
      <c r="A48" s="1" t="s">
        <v>22</v>
      </c>
      <c r="B48" s="27" t="s">
        <v>210</v>
      </c>
      <c r="C48" s="27" t="s">
        <v>211</v>
      </c>
      <c r="D48" s="27" t="s">
        <v>212</v>
      </c>
      <c r="E48" s="44">
        <f t="shared" si="0"/>
        <v>37</v>
      </c>
      <c r="F48" s="45" t="s">
        <v>213</v>
      </c>
      <c r="G48" s="30" t="s">
        <v>214</v>
      </c>
      <c r="H48" s="31" t="s">
        <v>215</v>
      </c>
      <c r="I48" s="32">
        <f>[1]Итог!D78</f>
        <v>0.66</v>
      </c>
      <c r="J48" s="33">
        <f>[1]Ведомость!D85</f>
        <v>10470</v>
      </c>
      <c r="K48" s="34">
        <f t="shared" si="1"/>
        <v>8430.4440000000013</v>
      </c>
      <c r="M48" s="10"/>
      <c r="O48" s="10">
        <v>10.919</v>
      </c>
      <c r="P48" s="37"/>
      <c r="Q48" s="17"/>
      <c r="R48" s="17"/>
      <c r="S48" s="5"/>
    </row>
    <row r="49" spans="1:19" ht="13.5" customHeight="1">
      <c r="A49" s="1" t="s">
        <v>22</v>
      </c>
      <c r="B49" s="27" t="s">
        <v>216</v>
      </c>
      <c r="C49" s="72" t="s">
        <v>217</v>
      </c>
      <c r="D49" s="73" t="s">
        <v>218</v>
      </c>
      <c r="E49" s="44">
        <f t="shared" si="0"/>
        <v>38</v>
      </c>
      <c r="F49" s="45" t="s">
        <v>219</v>
      </c>
      <c r="G49" s="30" t="s">
        <v>220</v>
      </c>
      <c r="H49" s="31" t="s">
        <v>221</v>
      </c>
      <c r="I49" s="32">
        <f>[1]Итог!D79</f>
        <v>7.4450000000000003</v>
      </c>
      <c r="J49" s="33">
        <f>[1]Ведомость!D86</f>
        <v>10470</v>
      </c>
      <c r="K49" s="34">
        <f t="shared" si="1"/>
        <v>95097.963000000003</v>
      </c>
      <c r="M49" s="10"/>
      <c r="O49" s="10">
        <v>1.48</v>
      </c>
      <c r="P49" s="16"/>
      <c r="Q49" s="17"/>
      <c r="R49" s="7"/>
      <c r="S49" s="5"/>
    </row>
    <row r="50" spans="1:19">
      <c r="A50" s="1" t="s">
        <v>22</v>
      </c>
      <c r="B50" s="27" t="s">
        <v>222</v>
      </c>
      <c r="C50" s="27" t="s">
        <v>223</v>
      </c>
      <c r="D50" s="27" t="s">
        <v>224</v>
      </c>
      <c r="E50" s="44">
        <f t="shared" si="0"/>
        <v>39</v>
      </c>
      <c r="F50" s="45" t="s">
        <v>225</v>
      </c>
      <c r="G50" s="30" t="s">
        <v>226</v>
      </c>
      <c r="H50" s="31" t="s">
        <v>227</v>
      </c>
      <c r="I50" s="32">
        <f>[1]Итог!D83</f>
        <v>18</v>
      </c>
      <c r="J50" s="33">
        <f>[1]Ведомость!D90</f>
        <v>10470</v>
      </c>
      <c r="K50" s="34">
        <f t="shared" si="1"/>
        <v>229921.19999999998</v>
      </c>
      <c r="M50" s="10"/>
      <c r="O50" s="10">
        <v>25.940999999999999</v>
      </c>
      <c r="P50" s="16"/>
      <c r="Q50" s="17"/>
      <c r="R50" s="17"/>
      <c r="S50" s="5"/>
    </row>
    <row r="51" spans="1:19">
      <c r="B51" s="27" t="s">
        <v>228</v>
      </c>
      <c r="C51" s="27"/>
      <c r="D51" s="27"/>
      <c r="E51" s="44">
        <f t="shared" si="0"/>
        <v>40</v>
      </c>
      <c r="F51" s="45" t="s">
        <v>229</v>
      </c>
      <c r="G51" s="30">
        <v>7805019279</v>
      </c>
      <c r="H51" s="49" t="s">
        <v>230</v>
      </c>
      <c r="I51" s="32">
        <f>[1]Итог!D9</f>
        <v>225.99</v>
      </c>
      <c r="J51" s="41">
        <f>[1]Ведомость!D16</f>
        <v>8940</v>
      </c>
      <c r="K51" s="34">
        <f t="shared" si="1"/>
        <v>2464827.7319999998</v>
      </c>
      <c r="M51" s="10"/>
      <c r="O51" s="74">
        <v>3347.038</v>
      </c>
      <c r="P51" s="16"/>
      <c r="Q51" s="17"/>
      <c r="R51" s="17"/>
      <c r="S51" s="5"/>
    </row>
    <row r="52" spans="1:19">
      <c r="B52" s="27"/>
      <c r="C52" s="27"/>
      <c r="D52" s="27"/>
      <c r="E52" s="44">
        <f t="shared" si="0"/>
        <v>41</v>
      </c>
      <c r="F52" s="45" t="s">
        <v>231</v>
      </c>
      <c r="G52" s="30" t="s">
        <v>232</v>
      </c>
      <c r="H52" s="31" t="s">
        <v>230</v>
      </c>
      <c r="I52" s="32">
        <f>[1]Итог!D12</f>
        <v>124.467</v>
      </c>
      <c r="J52" s="33">
        <f>[1]Ведомость!D16</f>
        <v>8940</v>
      </c>
      <c r="K52" s="34">
        <f t="shared" si="1"/>
        <v>1357536.6756</v>
      </c>
      <c r="M52" s="10"/>
      <c r="O52" s="10">
        <v>15.055999999999999</v>
      </c>
      <c r="P52" s="16"/>
      <c r="Q52" s="17"/>
      <c r="R52" s="17"/>
    </row>
    <row r="53" spans="1:19">
      <c r="B53" s="38" t="s">
        <v>233</v>
      </c>
      <c r="C53" s="27"/>
      <c r="D53" s="27"/>
      <c r="E53" s="44">
        <f t="shared" si="0"/>
        <v>42</v>
      </c>
      <c r="F53" s="45" t="s">
        <v>234</v>
      </c>
      <c r="G53" s="30" t="s">
        <v>235</v>
      </c>
      <c r="H53" s="49" t="s">
        <v>236</v>
      </c>
      <c r="I53" s="50">
        <f>[1]Итог!D10</f>
        <v>385.01</v>
      </c>
      <c r="J53" s="41">
        <f>[1]Ведомость!D17</f>
        <v>8940</v>
      </c>
      <c r="K53" s="34">
        <f t="shared" si="1"/>
        <v>4199227.068</v>
      </c>
      <c r="M53" s="10"/>
      <c r="O53" s="10">
        <v>352.02300000000002</v>
      </c>
      <c r="P53" s="16"/>
      <c r="Q53" s="17"/>
      <c r="R53" s="17"/>
      <c r="S53" s="5"/>
    </row>
    <row r="54" spans="1:19">
      <c r="B54" s="75" t="s">
        <v>233</v>
      </c>
      <c r="C54" s="27"/>
      <c r="D54" s="27"/>
      <c r="E54" s="44">
        <f t="shared" si="0"/>
        <v>43</v>
      </c>
      <c r="F54" s="45" t="s">
        <v>237</v>
      </c>
      <c r="G54" s="76">
        <v>7805060502</v>
      </c>
      <c r="H54" s="77" t="s">
        <v>236</v>
      </c>
      <c r="I54" s="50">
        <f>[1]Итог!D11</f>
        <v>59.424999999999997</v>
      </c>
      <c r="J54" s="41">
        <f>[1]Ведомость!D17</f>
        <v>8940</v>
      </c>
      <c r="K54" s="34">
        <f t="shared" si="1"/>
        <v>648136.59</v>
      </c>
      <c r="M54" s="10"/>
      <c r="O54" s="10">
        <v>28.527999999999999</v>
      </c>
      <c r="P54" s="16"/>
      <c r="Q54" s="17"/>
      <c r="R54" s="17"/>
      <c r="S54" s="5"/>
    </row>
    <row r="55" spans="1:19">
      <c r="A55" s="1" t="s">
        <v>22</v>
      </c>
      <c r="B55" s="27" t="s">
        <v>238</v>
      </c>
      <c r="C55" s="27" t="s">
        <v>239</v>
      </c>
      <c r="D55" s="27"/>
      <c r="E55" s="44">
        <f t="shared" si="0"/>
        <v>44</v>
      </c>
      <c r="F55" s="45" t="s">
        <v>240</v>
      </c>
      <c r="G55" s="30" t="s">
        <v>241</v>
      </c>
      <c r="H55" s="31" t="s">
        <v>242</v>
      </c>
      <c r="I55" s="32">
        <f>[1]Итог!D88</f>
        <v>1.0980000000000001</v>
      </c>
      <c r="J55" s="33">
        <f>[1]Ведомость!D95</f>
        <v>10470</v>
      </c>
      <c r="K55" s="34">
        <f t="shared" si="1"/>
        <v>14025.193200000002</v>
      </c>
      <c r="M55" s="10"/>
      <c r="O55" s="10">
        <v>11.651</v>
      </c>
      <c r="P55" s="16"/>
      <c r="Q55" s="17"/>
      <c r="R55" s="17"/>
      <c r="S55" s="5"/>
    </row>
    <row r="56" spans="1:19">
      <c r="A56" s="1" t="s">
        <v>22</v>
      </c>
      <c r="B56" s="27" t="s">
        <v>243</v>
      </c>
      <c r="C56" s="78" t="s">
        <v>244</v>
      </c>
      <c r="D56" s="27" t="s">
        <v>245</v>
      </c>
      <c r="E56" s="44">
        <f t="shared" si="0"/>
        <v>45</v>
      </c>
      <c r="F56" s="45" t="s">
        <v>246</v>
      </c>
      <c r="G56" s="30" t="s">
        <v>247</v>
      </c>
      <c r="H56" s="31" t="s">
        <v>248</v>
      </c>
      <c r="I56" s="32">
        <f>[1]Итог!D89</f>
        <v>3.5640000000000001</v>
      </c>
      <c r="J56" s="33">
        <f>[1]Ведомость!D96</f>
        <v>10470</v>
      </c>
      <c r="K56" s="34">
        <f t="shared" si="1"/>
        <v>45524.397600000004</v>
      </c>
      <c r="M56" s="74"/>
      <c r="O56" s="10">
        <v>1.0129999999999999</v>
      </c>
      <c r="P56" s="16"/>
      <c r="Q56" s="17"/>
      <c r="R56" s="17"/>
      <c r="S56" s="5"/>
    </row>
    <row r="57" spans="1:19">
      <c r="B57" s="27" t="s">
        <v>249</v>
      </c>
      <c r="C57" s="27" t="s">
        <v>250</v>
      </c>
      <c r="D57" s="27"/>
      <c r="E57" s="44">
        <f t="shared" si="0"/>
        <v>46</v>
      </c>
      <c r="F57" s="45" t="s">
        <v>251</v>
      </c>
      <c r="G57" s="30" t="s">
        <v>252</v>
      </c>
      <c r="H57" s="31" t="s">
        <v>253</v>
      </c>
      <c r="I57" s="32">
        <f>[1]Итог!D90</f>
        <v>22.712</v>
      </c>
      <c r="J57" s="33">
        <f>[1]Ведомость!D97</f>
        <v>10470</v>
      </c>
      <c r="K57" s="34">
        <f t="shared" si="1"/>
        <v>290109.4608</v>
      </c>
      <c r="M57" s="10"/>
      <c r="O57" s="10">
        <v>28.497</v>
      </c>
      <c r="P57" s="16"/>
      <c r="Q57" s="17"/>
      <c r="R57" s="17"/>
      <c r="S57" s="5"/>
    </row>
    <row r="58" spans="1:19">
      <c r="A58" s="1" t="s">
        <v>22</v>
      </c>
      <c r="B58" s="27" t="s">
        <v>254</v>
      </c>
      <c r="C58" s="27" t="s">
        <v>255</v>
      </c>
      <c r="D58" s="27" t="s">
        <v>256</v>
      </c>
      <c r="E58" s="44">
        <f t="shared" si="0"/>
        <v>47</v>
      </c>
      <c r="F58" s="45" t="s">
        <v>257</v>
      </c>
      <c r="G58" s="30" t="s">
        <v>258</v>
      </c>
      <c r="H58" s="31" t="s">
        <v>259</v>
      </c>
      <c r="I58" s="32">
        <f>[1]Итог!D91</f>
        <v>0.32100000000000001</v>
      </c>
      <c r="J58" s="33">
        <f>[1]Ведомость!D98</f>
        <v>10470</v>
      </c>
      <c r="K58" s="34">
        <f t="shared" si="1"/>
        <v>4100.2613999999994</v>
      </c>
      <c r="M58" s="74"/>
      <c r="O58" s="10">
        <v>64.516000000000005</v>
      </c>
      <c r="P58" s="37"/>
      <c r="Q58" s="17"/>
      <c r="R58" s="17"/>
      <c r="S58" s="5"/>
    </row>
    <row r="59" spans="1:19">
      <c r="A59" s="1" t="s">
        <v>22</v>
      </c>
      <c r="B59" s="27" t="s">
        <v>260</v>
      </c>
      <c r="C59" s="78">
        <v>89819586019</v>
      </c>
      <c r="D59" s="27" t="s">
        <v>261</v>
      </c>
      <c r="E59" s="44">
        <f t="shared" si="0"/>
        <v>48</v>
      </c>
      <c r="F59" s="45" t="s">
        <v>262</v>
      </c>
      <c r="G59" s="30" t="s">
        <v>263</v>
      </c>
      <c r="H59" s="31" t="s">
        <v>264</v>
      </c>
      <c r="I59" s="32">
        <f>[1]Итог!D93</f>
        <v>2.2330000000000001</v>
      </c>
      <c r="J59" s="33">
        <f>[1]Ведомость!D100</f>
        <v>10470</v>
      </c>
      <c r="K59" s="34">
        <f t="shared" si="1"/>
        <v>28523.002200000003</v>
      </c>
      <c r="M59" s="10"/>
      <c r="O59" s="10">
        <v>14.255000000000001</v>
      </c>
      <c r="P59" s="16"/>
      <c r="Q59" s="17"/>
      <c r="R59" s="17"/>
      <c r="S59" s="5"/>
    </row>
    <row r="60" spans="1:19">
      <c r="A60" s="1" t="s">
        <v>22</v>
      </c>
      <c r="B60" s="27" t="s">
        <v>265</v>
      </c>
      <c r="C60" s="27" t="s">
        <v>266</v>
      </c>
      <c r="D60" s="27" t="s">
        <v>267</v>
      </c>
      <c r="E60" s="44">
        <f t="shared" si="0"/>
        <v>49</v>
      </c>
      <c r="F60" s="45" t="s">
        <v>268</v>
      </c>
      <c r="G60" s="30" t="s">
        <v>269</v>
      </c>
      <c r="H60" s="31" t="s">
        <v>270</v>
      </c>
      <c r="I60" s="32">
        <f>[1]Итог!D94</f>
        <v>0.29899999999999999</v>
      </c>
      <c r="J60" s="33">
        <f>[1]Ведомость!D101</f>
        <v>10470</v>
      </c>
      <c r="K60" s="34">
        <f t="shared" si="1"/>
        <v>3819.2465999999995</v>
      </c>
      <c r="M60" s="10"/>
      <c r="O60" s="10">
        <v>0.187</v>
      </c>
      <c r="P60" s="16"/>
      <c r="Q60" s="17"/>
      <c r="R60" s="17"/>
      <c r="S60" s="5"/>
    </row>
    <row r="61" spans="1:19" ht="12" customHeight="1">
      <c r="B61" s="27" t="s">
        <v>271</v>
      </c>
      <c r="C61" s="46" t="s">
        <v>272</v>
      </c>
      <c r="D61" s="27"/>
      <c r="E61" s="44">
        <f t="shared" si="0"/>
        <v>50</v>
      </c>
      <c r="F61" s="45" t="s">
        <v>273</v>
      </c>
      <c r="G61" s="30" t="s">
        <v>274</v>
      </c>
      <c r="H61" s="31" t="s">
        <v>275</v>
      </c>
      <c r="I61" s="32">
        <f>[1]Итог!D95</f>
        <v>4.3650000000000002</v>
      </c>
      <c r="J61" s="33">
        <f>[1]Ведомость!D102</f>
        <v>6180</v>
      </c>
      <c r="K61" s="34">
        <f t="shared" si="1"/>
        <v>32910.353999999999</v>
      </c>
      <c r="M61" s="10"/>
      <c r="O61" s="74">
        <v>1521.5039999999999</v>
      </c>
      <c r="P61" s="16"/>
      <c r="Q61" s="17"/>
      <c r="R61" s="17"/>
      <c r="S61" s="5"/>
    </row>
    <row r="62" spans="1:19">
      <c r="A62" s="79" t="s">
        <v>22</v>
      </c>
      <c r="B62" s="27" t="s">
        <v>276</v>
      </c>
      <c r="C62" s="27" t="s">
        <v>277</v>
      </c>
      <c r="D62" s="27"/>
      <c r="E62" s="44">
        <f t="shared" si="0"/>
        <v>51</v>
      </c>
      <c r="F62" s="45" t="s">
        <v>278</v>
      </c>
      <c r="G62" s="30" t="s">
        <v>279</v>
      </c>
      <c r="H62" s="31" t="s">
        <v>280</v>
      </c>
      <c r="I62" s="32">
        <f>[1]Итог!D96</f>
        <v>10.919</v>
      </c>
      <c r="J62" s="33">
        <f>[1]Ведомость!D103</f>
        <v>10470</v>
      </c>
      <c r="K62" s="34">
        <f t="shared" si="1"/>
        <v>139472.75460000001</v>
      </c>
      <c r="M62" s="10"/>
      <c r="O62" s="10">
        <v>86.042000000000002</v>
      </c>
      <c r="P62" s="16"/>
      <c r="Q62" s="17"/>
      <c r="R62" s="7"/>
      <c r="S62" s="5"/>
    </row>
    <row r="63" spans="1:19">
      <c r="A63" s="1" t="s">
        <v>22</v>
      </c>
      <c r="B63" s="27" t="s">
        <v>281</v>
      </c>
      <c r="C63" s="27" t="s">
        <v>282</v>
      </c>
      <c r="D63" s="27" t="s">
        <v>283</v>
      </c>
      <c r="E63" s="44">
        <f t="shared" si="0"/>
        <v>52</v>
      </c>
      <c r="F63" s="45" t="s">
        <v>284</v>
      </c>
      <c r="G63" s="30" t="s">
        <v>285</v>
      </c>
      <c r="H63" s="31" t="s">
        <v>286</v>
      </c>
      <c r="I63" s="32">
        <f>[1]Итог!D97</f>
        <v>1.24</v>
      </c>
      <c r="J63" s="33">
        <f>[1]Ведомость!D104</f>
        <v>10470</v>
      </c>
      <c r="K63" s="34">
        <f t="shared" si="1"/>
        <v>15839.016</v>
      </c>
      <c r="M63" s="10"/>
      <c r="O63" s="10">
        <v>4.7759999999999998</v>
      </c>
      <c r="P63" s="37"/>
      <c r="Q63" s="17"/>
      <c r="R63" s="17"/>
      <c r="S63" s="5"/>
    </row>
    <row r="64" spans="1:19">
      <c r="A64" s="1" t="s">
        <v>22</v>
      </c>
      <c r="B64" s="27" t="s">
        <v>287</v>
      </c>
      <c r="C64" s="27" t="s">
        <v>288</v>
      </c>
      <c r="D64" s="27" t="s">
        <v>289</v>
      </c>
      <c r="E64" s="44">
        <f t="shared" si="0"/>
        <v>53</v>
      </c>
      <c r="F64" s="45" t="s">
        <v>290</v>
      </c>
      <c r="G64" s="30" t="s">
        <v>291</v>
      </c>
      <c r="H64" s="31" t="s">
        <v>292</v>
      </c>
      <c r="I64" s="32">
        <f>[1]Итог!D98</f>
        <v>1.48</v>
      </c>
      <c r="J64" s="33">
        <f>[1]Ведомость!D105</f>
        <v>10470</v>
      </c>
      <c r="K64" s="34">
        <f t="shared" si="1"/>
        <v>18904.632000000001</v>
      </c>
      <c r="M64" s="10"/>
      <c r="O64" s="10">
        <v>298.3</v>
      </c>
      <c r="P64" s="16"/>
      <c r="Q64" s="17"/>
      <c r="R64" s="7"/>
      <c r="S64" s="5"/>
    </row>
    <row r="65" spans="1:19">
      <c r="B65" s="27" t="s">
        <v>293</v>
      </c>
      <c r="C65" s="27"/>
      <c r="D65" s="27"/>
      <c r="E65" s="44">
        <f t="shared" si="0"/>
        <v>54</v>
      </c>
      <c r="F65" s="45" t="s">
        <v>294</v>
      </c>
      <c r="G65" s="30" t="s">
        <v>295</v>
      </c>
      <c r="H65" s="49" t="s">
        <v>296</v>
      </c>
      <c r="I65" s="50">
        <f>[1]Итог!D13</f>
        <v>25.940999999999999</v>
      </c>
      <c r="J65" s="41">
        <f>[1]Ведомость!D19</f>
        <v>8940</v>
      </c>
      <c r="K65" s="34">
        <f t="shared" si="1"/>
        <v>282933.29879999999</v>
      </c>
      <c r="M65" s="10"/>
      <c r="O65" s="10">
        <v>5.5839999999999996</v>
      </c>
      <c r="P65" s="16"/>
      <c r="Q65" s="17"/>
      <c r="R65" s="17"/>
      <c r="S65" s="5"/>
    </row>
    <row r="66" spans="1:19">
      <c r="A66" s="1" t="s">
        <v>22</v>
      </c>
      <c r="B66" s="27" t="s">
        <v>297</v>
      </c>
      <c r="C66" s="27" t="s">
        <v>298</v>
      </c>
      <c r="D66" s="27" t="s">
        <v>299</v>
      </c>
      <c r="E66" s="44">
        <f t="shared" si="0"/>
        <v>55</v>
      </c>
      <c r="F66" s="45" t="s">
        <v>300</v>
      </c>
      <c r="G66" s="30" t="s">
        <v>301</v>
      </c>
      <c r="H66" s="31" t="s">
        <v>302</v>
      </c>
      <c r="I66" s="32">
        <f>[1]Итог!D99</f>
        <v>9.6000000000000002E-2</v>
      </c>
      <c r="J66" s="33">
        <f>[1]Ведомость!D106</f>
        <v>10470</v>
      </c>
      <c r="K66" s="34">
        <f t="shared" si="1"/>
        <v>1226.2464</v>
      </c>
      <c r="M66" s="10"/>
      <c r="O66" s="10">
        <v>1.623</v>
      </c>
      <c r="P66" s="80"/>
      <c r="Q66" s="17"/>
      <c r="R66" s="17"/>
    </row>
    <row r="67" spans="1:19">
      <c r="A67" s="1" t="s">
        <v>22</v>
      </c>
      <c r="B67" s="27" t="s">
        <v>303</v>
      </c>
      <c r="C67" s="27" t="s">
        <v>304</v>
      </c>
      <c r="D67" s="27"/>
      <c r="E67" s="44">
        <f t="shared" si="0"/>
        <v>56</v>
      </c>
      <c r="F67" s="45" t="s">
        <v>305</v>
      </c>
      <c r="G67" s="30" t="s">
        <v>306</v>
      </c>
      <c r="H67" s="31" t="s">
        <v>307</v>
      </c>
      <c r="I67" s="32">
        <f>[1]Итог!D101</f>
        <v>8.2000000000000003E-2</v>
      </c>
      <c r="J67" s="33">
        <f>[1]Ведомость!D108</f>
        <v>10470</v>
      </c>
      <c r="K67" s="34">
        <f t="shared" si="1"/>
        <v>1047.4188000000001</v>
      </c>
      <c r="M67" s="74"/>
      <c r="O67" s="10">
        <v>2.5190000000000001</v>
      </c>
      <c r="P67" s="16"/>
      <c r="Q67" s="17"/>
      <c r="R67" s="17"/>
    </row>
    <row r="68" spans="1:19" ht="16.5" customHeight="1">
      <c r="B68" s="72" t="s">
        <v>308</v>
      </c>
      <c r="C68" s="27"/>
      <c r="D68" s="27"/>
      <c r="E68" s="44">
        <f t="shared" si="0"/>
        <v>57</v>
      </c>
      <c r="F68" s="45" t="s">
        <v>309</v>
      </c>
      <c r="G68" s="30" t="s">
        <v>310</v>
      </c>
      <c r="H68" s="49" t="s">
        <v>311</v>
      </c>
      <c r="I68" s="50">
        <f>[1]Итог!D22</f>
        <v>3347.038</v>
      </c>
      <c r="J68" s="41">
        <f>[1]Ведомость!D21</f>
        <v>8310</v>
      </c>
      <c r="K68" s="34">
        <f t="shared" si="1"/>
        <v>33932940.651600003</v>
      </c>
      <c r="M68" s="10"/>
      <c r="O68" s="10">
        <v>21.257999999999999</v>
      </c>
      <c r="P68" s="16"/>
      <c r="Q68" s="17"/>
      <c r="R68" s="17"/>
      <c r="S68" s="5"/>
    </row>
    <row r="69" spans="1:19">
      <c r="B69" s="27" t="s">
        <v>312</v>
      </c>
      <c r="C69" s="81" t="s">
        <v>313</v>
      </c>
      <c r="D69" s="27"/>
      <c r="E69" s="44">
        <f t="shared" si="0"/>
        <v>58</v>
      </c>
      <c r="F69" s="45" t="s">
        <v>314</v>
      </c>
      <c r="G69" s="30" t="s">
        <v>315</v>
      </c>
      <c r="H69" s="31" t="s">
        <v>316</v>
      </c>
      <c r="I69" s="32">
        <f>[1]Итог!D105</f>
        <v>15.055999999999999</v>
      </c>
      <c r="J69" s="33">
        <f>[1]Ведомость!D112</f>
        <v>10470</v>
      </c>
      <c r="K69" s="34">
        <f t="shared" si="1"/>
        <v>192316.31039999996</v>
      </c>
      <c r="M69" s="10"/>
      <c r="O69" s="10">
        <v>32.811999999999998</v>
      </c>
      <c r="P69" s="16"/>
      <c r="Q69" s="17"/>
      <c r="R69" s="17"/>
    </row>
    <row r="70" spans="1:19">
      <c r="A70" s="79"/>
      <c r="B70" s="27" t="s">
        <v>317</v>
      </c>
      <c r="C70" s="27" t="s">
        <v>318</v>
      </c>
      <c r="D70" s="27"/>
      <c r="E70" s="44">
        <f t="shared" si="0"/>
        <v>59</v>
      </c>
      <c r="F70" s="45" t="s">
        <v>319</v>
      </c>
      <c r="G70" s="30" t="s">
        <v>320</v>
      </c>
      <c r="H70" s="31" t="s">
        <v>321</v>
      </c>
      <c r="I70" s="32">
        <f>[1]Итог!D26</f>
        <v>352.02300000000002</v>
      </c>
      <c r="J70" s="33">
        <f>[1]Ведомость!D113</f>
        <v>10470</v>
      </c>
      <c r="K70" s="34">
        <f t="shared" si="1"/>
        <v>4496530.5882000001</v>
      </c>
      <c r="M70" s="10"/>
      <c r="O70" s="10">
        <v>2.0790000000000002</v>
      </c>
      <c r="P70" s="16"/>
      <c r="Q70" s="17"/>
      <c r="R70" s="17"/>
      <c r="S70" s="5"/>
    </row>
    <row r="71" spans="1:19" ht="22.5" customHeight="1">
      <c r="A71" s="1" t="s">
        <v>22</v>
      </c>
      <c r="B71" s="66" t="s">
        <v>322</v>
      </c>
      <c r="C71" s="66" t="s">
        <v>323</v>
      </c>
      <c r="D71" s="66" t="s">
        <v>324</v>
      </c>
      <c r="E71" s="44">
        <f t="shared" si="0"/>
        <v>60</v>
      </c>
      <c r="F71" s="82" t="s">
        <v>325</v>
      </c>
      <c r="G71" s="83" t="s">
        <v>326</v>
      </c>
      <c r="H71" s="84" t="s">
        <v>327</v>
      </c>
      <c r="I71" s="39">
        <f>[1]Итог!D107</f>
        <v>7.0000000000000007E-2</v>
      </c>
      <c r="J71" s="85">
        <f>[1]Ведомость!D115</f>
        <v>10470</v>
      </c>
      <c r="K71" s="34">
        <f t="shared" si="1"/>
        <v>894.13800000000015</v>
      </c>
      <c r="M71" s="10"/>
      <c r="O71" s="10">
        <v>7.726</v>
      </c>
      <c r="P71" s="16"/>
      <c r="Q71" s="17"/>
      <c r="R71" s="17"/>
      <c r="S71" s="5"/>
    </row>
    <row r="72" spans="1:19">
      <c r="A72" s="1" t="s">
        <v>22</v>
      </c>
      <c r="B72" s="27" t="s">
        <v>328</v>
      </c>
      <c r="C72" s="78" t="s">
        <v>329</v>
      </c>
      <c r="D72" s="27" t="s">
        <v>330</v>
      </c>
      <c r="E72" s="44">
        <f t="shared" si="0"/>
        <v>61</v>
      </c>
      <c r="F72" s="45" t="s">
        <v>331</v>
      </c>
      <c r="G72" s="30" t="s">
        <v>332</v>
      </c>
      <c r="H72" s="31" t="s">
        <v>333</v>
      </c>
      <c r="I72" s="32">
        <f>[1]Итог!D110</f>
        <v>28.527999999999999</v>
      </c>
      <c r="J72" s="33">
        <f>[1]Ведомость!D118</f>
        <v>10470</v>
      </c>
      <c r="K72" s="34">
        <f t="shared" si="1"/>
        <v>364399.55519999994</v>
      </c>
      <c r="M72" s="10"/>
      <c r="O72" s="10">
        <v>7.6680000000000001</v>
      </c>
      <c r="P72" s="16"/>
      <c r="Q72" s="17"/>
      <c r="R72" s="17"/>
    </row>
    <row r="73" spans="1:19">
      <c r="A73" s="1" t="s">
        <v>22</v>
      </c>
      <c r="B73" s="46" t="s">
        <v>276</v>
      </c>
      <c r="C73" s="27" t="s">
        <v>334</v>
      </c>
      <c r="D73" s="27"/>
      <c r="E73" s="44">
        <f t="shared" si="0"/>
        <v>62</v>
      </c>
      <c r="F73" s="45" t="s">
        <v>335</v>
      </c>
      <c r="G73" s="30">
        <v>7740000076</v>
      </c>
      <c r="H73" s="31" t="s">
        <v>336</v>
      </c>
      <c r="I73" s="32">
        <f>[1]Итог!D111</f>
        <v>11.651</v>
      </c>
      <c r="J73" s="33">
        <f>[1]Ведомость!D119</f>
        <v>10470</v>
      </c>
      <c r="K73" s="34">
        <f t="shared" si="1"/>
        <v>148822.88339999999</v>
      </c>
      <c r="M73" s="10"/>
      <c r="O73" s="10">
        <v>0.70099999999999996</v>
      </c>
      <c r="P73" s="37"/>
      <c r="Q73" s="17"/>
      <c r="R73" s="7"/>
      <c r="S73" s="5"/>
    </row>
    <row r="74" spans="1:19">
      <c r="A74" s="1" t="s">
        <v>22</v>
      </c>
      <c r="B74" s="27" t="s">
        <v>337</v>
      </c>
      <c r="C74" s="27" t="s">
        <v>338</v>
      </c>
      <c r="D74" s="27" t="s">
        <v>339</v>
      </c>
      <c r="E74" s="44">
        <f t="shared" si="0"/>
        <v>63</v>
      </c>
      <c r="F74" s="45" t="s">
        <v>340</v>
      </c>
      <c r="G74" s="30">
        <v>7805813594</v>
      </c>
      <c r="H74" s="31" t="s">
        <v>341</v>
      </c>
      <c r="I74" s="32">
        <f>[1]Итог!D112</f>
        <v>1.0129999999999999</v>
      </c>
      <c r="J74" s="33">
        <f>[1]Ведомость!D120</f>
        <v>10470</v>
      </c>
      <c r="K74" s="34">
        <f t="shared" si="1"/>
        <v>12939.454199999998</v>
      </c>
      <c r="L74" s="86"/>
      <c r="M74" s="10"/>
      <c r="O74" s="10">
        <v>30.616</v>
      </c>
      <c r="P74" s="37"/>
      <c r="Q74" s="17"/>
      <c r="R74" s="17"/>
      <c r="S74" s="5"/>
    </row>
    <row r="75" spans="1:19">
      <c r="B75" s="66" t="s">
        <v>342</v>
      </c>
      <c r="C75" s="46" t="s">
        <v>343</v>
      </c>
      <c r="D75" s="27"/>
      <c r="E75" s="44">
        <f t="shared" si="0"/>
        <v>64</v>
      </c>
      <c r="F75" s="45" t="s">
        <v>344</v>
      </c>
      <c r="G75" s="30" t="s">
        <v>345</v>
      </c>
      <c r="H75" s="31" t="s">
        <v>346</v>
      </c>
      <c r="I75" s="32">
        <f>[1]Итог!D113</f>
        <v>28.497</v>
      </c>
      <c r="J75" s="33">
        <f>[1]Ведомость!D121</f>
        <v>10470</v>
      </c>
      <c r="K75" s="34">
        <f t="shared" si="1"/>
        <v>364003.57980000001</v>
      </c>
      <c r="M75" s="10"/>
      <c r="O75" s="10">
        <v>2.1800000000000002</v>
      </c>
      <c r="P75" s="16"/>
      <c r="Q75" s="17"/>
      <c r="R75" s="17"/>
      <c r="S75" s="5"/>
    </row>
    <row r="76" spans="1:19">
      <c r="A76" s="79" t="s">
        <v>22</v>
      </c>
      <c r="B76" s="66" t="s">
        <v>347</v>
      </c>
      <c r="C76" s="46" t="s">
        <v>348</v>
      </c>
      <c r="D76" s="27"/>
      <c r="E76" s="44">
        <f t="shared" si="0"/>
        <v>65</v>
      </c>
      <c r="F76" s="45" t="s">
        <v>349</v>
      </c>
      <c r="G76" s="30" t="s">
        <v>350</v>
      </c>
      <c r="H76" s="31" t="s">
        <v>351</v>
      </c>
      <c r="I76" s="32">
        <f>[1]Итог!D114</f>
        <v>64.516000000000005</v>
      </c>
      <c r="J76" s="33">
        <f>[1]Ведомость!D122</f>
        <v>10470</v>
      </c>
      <c r="K76" s="34">
        <f t="shared" ref="K76:K139" si="2">I76*J76*1.22</f>
        <v>824088.67440000002</v>
      </c>
      <c r="M76" s="10"/>
      <c r="O76" s="10">
        <v>18.643000000000001</v>
      </c>
      <c r="P76" s="16"/>
      <c r="Q76" s="17"/>
      <c r="R76" s="17"/>
      <c r="S76" s="5"/>
    </row>
    <row r="77" spans="1:19">
      <c r="A77" s="1" t="s">
        <v>22</v>
      </c>
      <c r="B77" s="27" t="s">
        <v>352</v>
      </c>
      <c r="C77" s="27" t="s">
        <v>353</v>
      </c>
      <c r="D77" s="27" t="s">
        <v>354</v>
      </c>
      <c r="E77" s="44">
        <f t="shared" si="0"/>
        <v>66</v>
      </c>
      <c r="F77" s="45" t="s">
        <v>355</v>
      </c>
      <c r="G77" s="30">
        <v>7805205645</v>
      </c>
      <c r="H77" s="31" t="s">
        <v>356</v>
      </c>
      <c r="I77" s="32">
        <f>[1]Итог!D27</f>
        <v>14.255000000000001</v>
      </c>
      <c r="J77" s="33">
        <f>[1]Ведомость!D123</f>
        <v>10470</v>
      </c>
      <c r="K77" s="34">
        <f t="shared" si="2"/>
        <v>182084.81700000001</v>
      </c>
      <c r="L77" s="8" t="s">
        <v>357</v>
      </c>
      <c r="M77" s="10"/>
      <c r="O77" s="10">
        <v>105.29</v>
      </c>
      <c r="P77" s="16"/>
      <c r="Q77" s="17"/>
      <c r="R77" s="17"/>
      <c r="S77" s="5"/>
    </row>
    <row r="78" spans="1:19">
      <c r="A78" s="1" t="s">
        <v>22</v>
      </c>
      <c r="B78" s="27" t="s">
        <v>358</v>
      </c>
      <c r="C78" s="27"/>
      <c r="D78" s="27"/>
      <c r="E78" s="44">
        <f t="shared" si="0"/>
        <v>67</v>
      </c>
      <c r="F78" s="45" t="s">
        <v>359</v>
      </c>
      <c r="G78" s="30" t="s">
        <v>360</v>
      </c>
      <c r="H78" s="31" t="s">
        <v>361</v>
      </c>
      <c r="I78" s="32">
        <f>[1]Итог!D115</f>
        <v>0.187</v>
      </c>
      <c r="J78" s="33">
        <f>[1]Ведомость!D124</f>
        <v>10470</v>
      </c>
      <c r="K78" s="34">
        <f t="shared" si="2"/>
        <v>2388.6258000000003</v>
      </c>
      <c r="M78" s="10"/>
      <c r="O78" s="10">
        <v>21.823</v>
      </c>
      <c r="P78" s="16"/>
      <c r="Q78" s="17"/>
      <c r="R78" s="17"/>
    </row>
    <row r="79" spans="1:19">
      <c r="B79" s="27" t="s">
        <v>362</v>
      </c>
      <c r="C79" s="27"/>
      <c r="D79" s="27"/>
      <c r="E79" s="44">
        <f t="shared" si="0"/>
        <v>68</v>
      </c>
      <c r="F79" s="45" t="s">
        <v>363</v>
      </c>
      <c r="G79" s="30" t="s">
        <v>364</v>
      </c>
      <c r="H79" s="49" t="s">
        <v>365</v>
      </c>
      <c r="I79" s="50">
        <f>[1]Итог!D21</f>
        <v>1521.5039999999999</v>
      </c>
      <c r="J79" s="41">
        <f>[1]Ведомость!D20</f>
        <v>8310</v>
      </c>
      <c r="K79" s="34">
        <f t="shared" si="2"/>
        <v>15425311.852799997</v>
      </c>
      <c r="M79" s="10"/>
      <c r="O79" s="10">
        <v>5.133</v>
      </c>
      <c r="P79" s="16"/>
      <c r="Q79" s="17"/>
      <c r="R79" s="17"/>
      <c r="S79" s="5"/>
    </row>
    <row r="80" spans="1:19" ht="14.25" customHeight="1">
      <c r="A80" s="1" t="s">
        <v>22</v>
      </c>
      <c r="B80" s="27" t="s">
        <v>366</v>
      </c>
      <c r="C80" s="27" t="s">
        <v>367</v>
      </c>
      <c r="D80" s="27" t="s">
        <v>368</v>
      </c>
      <c r="E80" s="44">
        <f t="shared" si="0"/>
        <v>69</v>
      </c>
      <c r="F80" s="45" t="s">
        <v>369</v>
      </c>
      <c r="G80" s="30" t="s">
        <v>370</v>
      </c>
      <c r="H80" s="49" t="s">
        <v>371</v>
      </c>
      <c r="I80" s="50">
        <f>[1]Итог!D117</f>
        <v>86.042000000000002</v>
      </c>
      <c r="J80" s="41">
        <f>[1]Ведомость!D126</f>
        <v>8940</v>
      </c>
      <c r="K80" s="34">
        <f t="shared" si="2"/>
        <v>938442.88559999992</v>
      </c>
      <c r="M80" s="10"/>
      <c r="O80" s="10">
        <v>141.84200000000001</v>
      </c>
      <c r="P80" s="16"/>
      <c r="Q80" s="17"/>
      <c r="R80" s="17"/>
      <c r="S80" s="5"/>
    </row>
    <row r="81" spans="1:19">
      <c r="A81" s="1" t="s">
        <v>22</v>
      </c>
      <c r="B81" s="27" t="s">
        <v>372</v>
      </c>
      <c r="C81" s="27"/>
      <c r="D81" s="27"/>
      <c r="E81" s="44">
        <f t="shared" si="0"/>
        <v>70</v>
      </c>
      <c r="F81" s="29" t="s">
        <v>373</v>
      </c>
      <c r="G81" s="87" t="s">
        <v>374</v>
      </c>
      <c r="H81" s="40" t="s">
        <v>375</v>
      </c>
      <c r="I81" s="32">
        <f>[1]Итог!D118</f>
        <v>4.7759999999999998</v>
      </c>
      <c r="J81" s="33">
        <f>[1]Ведомость!D127</f>
        <v>10470</v>
      </c>
      <c r="K81" s="34">
        <f t="shared" si="2"/>
        <v>61005.758399999999</v>
      </c>
      <c r="M81" s="10"/>
      <c r="O81" s="10">
        <v>1.3140000000000001</v>
      </c>
      <c r="P81" s="16"/>
      <c r="Q81" s="17"/>
      <c r="R81" s="17"/>
      <c r="S81" s="5"/>
    </row>
    <row r="82" spans="1:19">
      <c r="A82" s="1" t="s">
        <v>22</v>
      </c>
      <c r="B82" s="27" t="s">
        <v>376</v>
      </c>
      <c r="C82" s="27" t="s">
        <v>377</v>
      </c>
      <c r="D82" s="27" t="s">
        <v>378</v>
      </c>
      <c r="E82" s="44">
        <f t="shared" si="0"/>
        <v>71</v>
      </c>
      <c r="F82" s="29" t="s">
        <v>379</v>
      </c>
      <c r="G82" s="87" t="s">
        <v>380</v>
      </c>
      <c r="H82" s="40" t="s">
        <v>381</v>
      </c>
      <c r="I82" s="32">
        <f>[1]Итог!D119</f>
        <v>298.3</v>
      </c>
      <c r="J82" s="33">
        <f>[1]Ведомость!D128</f>
        <v>10470</v>
      </c>
      <c r="K82" s="34">
        <f t="shared" si="2"/>
        <v>3810305.2199999997</v>
      </c>
      <c r="M82" s="10"/>
      <c r="O82" s="10">
        <v>4.9000000000000004</v>
      </c>
      <c r="P82" s="16"/>
      <c r="Q82" s="17"/>
      <c r="R82" s="17"/>
      <c r="S82" s="5"/>
    </row>
    <row r="83" spans="1:19">
      <c r="B83" s="27" t="s">
        <v>382</v>
      </c>
      <c r="C83" s="27" t="s">
        <v>383</v>
      </c>
      <c r="D83" s="27"/>
      <c r="E83" s="44">
        <f t="shared" si="0"/>
        <v>72</v>
      </c>
      <c r="F83" s="29" t="s">
        <v>384</v>
      </c>
      <c r="G83" s="87" t="s">
        <v>385</v>
      </c>
      <c r="H83" s="40" t="s">
        <v>386</v>
      </c>
      <c r="I83" s="32">
        <f>[1]Итог!D120</f>
        <v>13.222</v>
      </c>
      <c r="J83" s="33">
        <f>[1]Ведомость!D129</f>
        <v>10470</v>
      </c>
      <c r="K83" s="34">
        <f t="shared" si="2"/>
        <v>168889.89479999998</v>
      </c>
      <c r="M83" s="10"/>
      <c r="O83" s="10">
        <v>71.570999999999998</v>
      </c>
      <c r="P83" s="16"/>
      <c r="Q83" s="17"/>
      <c r="R83" s="17"/>
      <c r="S83" s="5"/>
    </row>
    <row r="84" spans="1:19">
      <c r="A84" s="1" t="s">
        <v>22</v>
      </c>
      <c r="B84" s="27" t="s">
        <v>387</v>
      </c>
      <c r="C84" s="27" t="s">
        <v>388</v>
      </c>
      <c r="D84" s="27" t="s">
        <v>389</v>
      </c>
      <c r="E84" s="44">
        <f t="shared" si="0"/>
        <v>73</v>
      </c>
      <c r="F84" s="29" t="s">
        <v>390</v>
      </c>
      <c r="G84" s="87" t="s">
        <v>391</v>
      </c>
      <c r="H84" s="40" t="s">
        <v>392</v>
      </c>
      <c r="I84" s="32">
        <f>[1]Итог!D121</f>
        <v>5.5839999999999996</v>
      </c>
      <c r="J84" s="33">
        <f>[1]Ведомость!D130</f>
        <v>10470</v>
      </c>
      <c r="K84" s="34">
        <f t="shared" si="2"/>
        <v>71326.665599999993</v>
      </c>
      <c r="M84" s="10"/>
      <c r="O84" s="10">
        <v>109.66</v>
      </c>
      <c r="P84" s="16"/>
      <c r="Q84" s="17"/>
      <c r="R84" s="17"/>
      <c r="S84" s="5"/>
    </row>
    <row r="85" spans="1:19">
      <c r="A85" s="1" t="s">
        <v>22</v>
      </c>
      <c r="B85" s="27" t="s">
        <v>393</v>
      </c>
      <c r="C85" s="27" t="s">
        <v>394</v>
      </c>
      <c r="D85" s="27" t="s">
        <v>395</v>
      </c>
      <c r="E85" s="44">
        <f t="shared" si="0"/>
        <v>74</v>
      </c>
      <c r="F85" s="45" t="s">
        <v>396</v>
      </c>
      <c r="G85" s="30" t="s">
        <v>397</v>
      </c>
      <c r="H85" s="31" t="s">
        <v>398</v>
      </c>
      <c r="I85" s="32">
        <f>[1]Итог!D123</f>
        <v>3.95</v>
      </c>
      <c r="J85" s="33">
        <f>[1]Ведомость!D132</f>
        <v>10470</v>
      </c>
      <c r="K85" s="34">
        <f t="shared" si="2"/>
        <v>50454.93</v>
      </c>
      <c r="M85" s="10"/>
      <c r="O85" s="10">
        <v>160.44</v>
      </c>
      <c r="P85" s="16"/>
      <c r="Q85" s="17"/>
      <c r="R85" s="17"/>
      <c r="S85" s="5"/>
    </row>
    <row r="86" spans="1:19">
      <c r="A86" s="1" t="s">
        <v>22</v>
      </c>
      <c r="B86" s="27" t="s">
        <v>399</v>
      </c>
      <c r="C86" s="27" t="s">
        <v>400</v>
      </c>
      <c r="D86" s="27"/>
      <c r="E86" s="44">
        <f t="shared" si="0"/>
        <v>75</v>
      </c>
      <c r="F86" s="45" t="s">
        <v>401</v>
      </c>
      <c r="G86" s="30" t="s">
        <v>402</v>
      </c>
      <c r="H86" s="31" t="s">
        <v>403</v>
      </c>
      <c r="I86" s="32">
        <f>[1]Итог!D124</f>
        <v>3.4430000000000001</v>
      </c>
      <c r="J86" s="33">
        <f>[1]Ведомость!D133</f>
        <v>10470</v>
      </c>
      <c r="K86" s="34">
        <f t="shared" si="2"/>
        <v>43978.816200000001</v>
      </c>
      <c r="M86" s="10"/>
      <c r="O86" s="10">
        <v>16.986999999999998</v>
      </c>
      <c r="P86" s="16"/>
      <c r="Q86" s="17"/>
      <c r="R86" s="17"/>
    </row>
    <row r="87" spans="1:19">
      <c r="B87" s="66" t="s">
        <v>404</v>
      </c>
      <c r="C87" s="46" t="s">
        <v>405</v>
      </c>
      <c r="D87" s="27"/>
      <c r="E87" s="44">
        <f t="shared" si="0"/>
        <v>76</v>
      </c>
      <c r="F87" s="45" t="s">
        <v>406</v>
      </c>
      <c r="G87" s="30" t="s">
        <v>407</v>
      </c>
      <c r="H87" s="31" t="s">
        <v>408</v>
      </c>
      <c r="I87" s="32">
        <f>[1]Итог!D125</f>
        <v>1.623</v>
      </c>
      <c r="J87" s="33">
        <f>[1]Ведомость!D134</f>
        <v>10470</v>
      </c>
      <c r="K87" s="34">
        <f t="shared" si="2"/>
        <v>20731.228200000001</v>
      </c>
      <c r="M87" s="10"/>
      <c r="O87" s="10">
        <v>0.10199999999999999</v>
      </c>
      <c r="P87" s="16"/>
      <c r="Q87" s="17"/>
      <c r="R87" s="17"/>
      <c r="S87" s="5"/>
    </row>
    <row r="88" spans="1:19">
      <c r="B88" s="27" t="s">
        <v>409</v>
      </c>
      <c r="C88" s="46" t="s">
        <v>410</v>
      </c>
      <c r="D88" s="27"/>
      <c r="E88" s="44">
        <f t="shared" si="0"/>
        <v>77</v>
      </c>
      <c r="F88" s="45" t="s">
        <v>411</v>
      </c>
      <c r="G88" s="30" t="s">
        <v>412</v>
      </c>
      <c r="H88" s="31" t="s">
        <v>413</v>
      </c>
      <c r="I88" s="32">
        <f>[1]Итог!D126</f>
        <v>2.5190000000000001</v>
      </c>
      <c r="J88" s="33">
        <f>[1]Ведомость!D135</f>
        <v>10470</v>
      </c>
      <c r="K88" s="34">
        <f t="shared" si="2"/>
        <v>32176.194599999999</v>
      </c>
      <c r="M88" s="10"/>
      <c r="O88" s="10">
        <v>0.14799999999999999</v>
      </c>
      <c r="P88" s="16"/>
      <c r="Q88" s="17"/>
      <c r="R88" s="17"/>
      <c r="S88" s="5"/>
    </row>
    <row r="89" spans="1:19">
      <c r="A89" s="1" t="s">
        <v>22</v>
      </c>
      <c r="B89" s="27" t="s">
        <v>414</v>
      </c>
      <c r="C89" s="27"/>
      <c r="D89" s="27"/>
      <c r="E89" s="44">
        <f t="shared" si="0"/>
        <v>78</v>
      </c>
      <c r="F89" s="45" t="s">
        <v>415</v>
      </c>
      <c r="G89" s="30" t="s">
        <v>416</v>
      </c>
      <c r="H89" s="31" t="s">
        <v>417</v>
      </c>
      <c r="I89" s="32">
        <f>[1]Итог!D127</f>
        <v>2.14</v>
      </c>
      <c r="J89" s="33">
        <f>[1]Ведомость!D136</f>
        <v>10470</v>
      </c>
      <c r="K89" s="34">
        <f t="shared" si="2"/>
        <v>27335.076000000005</v>
      </c>
      <c r="M89" s="10"/>
      <c r="O89" s="10">
        <v>3.3559999999999999</v>
      </c>
      <c r="P89" s="16"/>
      <c r="Q89" s="17"/>
      <c r="R89" s="17"/>
    </row>
    <row r="90" spans="1:19">
      <c r="A90" s="1" t="s">
        <v>22</v>
      </c>
      <c r="B90" s="27" t="s">
        <v>418</v>
      </c>
      <c r="C90" s="27"/>
      <c r="D90" s="27"/>
      <c r="E90" s="44">
        <f t="shared" si="0"/>
        <v>79</v>
      </c>
      <c r="F90" s="45" t="s">
        <v>419</v>
      </c>
      <c r="G90" s="30" t="s">
        <v>420</v>
      </c>
      <c r="H90" s="31" t="s">
        <v>421</v>
      </c>
      <c r="I90" s="32">
        <f>[1]Итог!D128</f>
        <v>21.257999999999999</v>
      </c>
      <c r="J90" s="33">
        <f>[1]Ведомость!D137</f>
        <v>10470</v>
      </c>
      <c r="K90" s="34">
        <f t="shared" si="2"/>
        <v>271536.93719999999</v>
      </c>
      <c r="M90" s="10"/>
      <c r="O90" s="10">
        <v>6.54</v>
      </c>
      <c r="P90" s="16"/>
      <c r="Q90" s="17"/>
      <c r="R90" s="17"/>
      <c r="S90" s="5"/>
    </row>
    <row r="91" spans="1:19" ht="28.9" customHeight="1">
      <c r="A91" s="88" t="s">
        <v>22</v>
      </c>
      <c r="B91" s="72" t="s">
        <v>422</v>
      </c>
      <c r="C91" s="27" t="s">
        <v>423</v>
      </c>
      <c r="D91" s="27" t="s">
        <v>424</v>
      </c>
      <c r="E91" s="44">
        <f t="shared" si="0"/>
        <v>80</v>
      </c>
      <c r="F91" s="45" t="s">
        <v>425</v>
      </c>
      <c r="G91" s="30" t="s">
        <v>426</v>
      </c>
      <c r="H91" s="31" t="s">
        <v>427</v>
      </c>
      <c r="I91" s="32">
        <f>[1]Итог!D129</f>
        <v>32.811999999999998</v>
      </c>
      <c r="J91" s="33">
        <f>[1]Ведомость!D138</f>
        <v>10470</v>
      </c>
      <c r="K91" s="34">
        <f t="shared" si="2"/>
        <v>419120.80079999991</v>
      </c>
      <c r="M91" s="10"/>
      <c r="O91" s="10">
        <v>190.42599999999999</v>
      </c>
      <c r="P91" s="16"/>
      <c r="Q91" s="17"/>
      <c r="R91" s="17"/>
      <c r="S91" s="5"/>
    </row>
    <row r="92" spans="1:19">
      <c r="A92" s="1" t="s">
        <v>22</v>
      </c>
      <c r="B92" s="27" t="s">
        <v>428</v>
      </c>
      <c r="C92" s="27"/>
      <c r="D92" s="27"/>
      <c r="E92" s="44">
        <f t="shared" si="0"/>
        <v>81</v>
      </c>
      <c r="F92" s="45" t="s">
        <v>429</v>
      </c>
      <c r="G92" s="30" t="s">
        <v>430</v>
      </c>
      <c r="H92" s="31" t="s">
        <v>431</v>
      </c>
      <c r="I92" s="32">
        <f>[1]Итог!D130</f>
        <v>2.0790000000000002</v>
      </c>
      <c r="J92" s="33">
        <f>[1]Ведомость!D139</f>
        <v>10470</v>
      </c>
      <c r="K92" s="34">
        <f t="shared" si="2"/>
        <v>26555.8986</v>
      </c>
      <c r="M92" s="10"/>
      <c r="O92" s="10">
        <v>4.74</v>
      </c>
      <c r="P92" s="16"/>
      <c r="Q92" s="17"/>
      <c r="R92" s="17"/>
    </row>
    <row r="93" spans="1:19">
      <c r="A93" s="1" t="s">
        <v>22</v>
      </c>
      <c r="B93" s="27" t="s">
        <v>432</v>
      </c>
      <c r="C93" s="27"/>
      <c r="D93" s="27"/>
      <c r="E93" s="44">
        <f t="shared" si="0"/>
        <v>82</v>
      </c>
      <c r="F93" s="45" t="s">
        <v>433</v>
      </c>
      <c r="G93" s="30" t="s">
        <v>434</v>
      </c>
      <c r="H93" s="31" t="s">
        <v>435</v>
      </c>
      <c r="I93" s="32">
        <f>[1]Итог!D131</f>
        <v>7.726</v>
      </c>
      <c r="J93" s="33">
        <f>[1]Ведомость!D140</f>
        <v>10470</v>
      </c>
      <c r="K93" s="34">
        <f t="shared" si="2"/>
        <v>98687.288400000005</v>
      </c>
      <c r="M93" s="10"/>
      <c r="O93" s="10">
        <v>118.801</v>
      </c>
      <c r="P93" s="16"/>
      <c r="Q93" s="17"/>
      <c r="R93" s="17"/>
      <c r="S93" s="5"/>
    </row>
    <row r="94" spans="1:19">
      <c r="B94" s="27" t="s">
        <v>436</v>
      </c>
      <c r="C94" s="27" t="s">
        <v>437</v>
      </c>
      <c r="D94" s="27" t="s">
        <v>438</v>
      </c>
      <c r="E94" s="44">
        <f t="shared" si="0"/>
        <v>83</v>
      </c>
      <c r="F94" s="45" t="s">
        <v>439</v>
      </c>
      <c r="G94" s="30" t="s">
        <v>440</v>
      </c>
      <c r="H94" s="31" t="s">
        <v>441</v>
      </c>
      <c r="I94" s="32">
        <f>[1]Итог!D132</f>
        <v>7.6680000000000001</v>
      </c>
      <c r="J94" s="33">
        <f>[1]Ведомость!D141</f>
        <v>10470</v>
      </c>
      <c r="K94" s="34">
        <f t="shared" si="2"/>
        <v>97946.431200000006</v>
      </c>
      <c r="M94" s="10"/>
      <c r="O94" s="10">
        <v>0.20599999999999999</v>
      </c>
      <c r="P94" s="16"/>
      <c r="Q94" s="17"/>
      <c r="R94" s="17"/>
      <c r="S94" s="5"/>
    </row>
    <row r="95" spans="1:19">
      <c r="A95" s="1" t="s">
        <v>22</v>
      </c>
      <c r="B95" s="27" t="s">
        <v>442</v>
      </c>
      <c r="C95" s="27"/>
      <c r="D95" s="27"/>
      <c r="E95" s="44">
        <f t="shared" si="0"/>
        <v>84</v>
      </c>
      <c r="F95" s="45" t="s">
        <v>443</v>
      </c>
      <c r="G95" s="30" t="s">
        <v>444</v>
      </c>
      <c r="H95" s="31" t="s">
        <v>445</v>
      </c>
      <c r="I95" s="32">
        <f>[1]Итог!D133</f>
        <v>0.70099999999999996</v>
      </c>
      <c r="J95" s="33">
        <f>[1]Ведомость!D142</f>
        <v>10470</v>
      </c>
      <c r="K95" s="34">
        <f t="shared" si="2"/>
        <v>8954.1533999999992</v>
      </c>
      <c r="M95" s="10"/>
      <c r="O95" s="10">
        <v>2.92</v>
      </c>
      <c r="P95" s="16"/>
      <c r="Q95" s="17"/>
      <c r="R95" s="17"/>
    </row>
    <row r="96" spans="1:19">
      <c r="A96" s="1" t="s">
        <v>22</v>
      </c>
      <c r="B96" s="27" t="s">
        <v>446</v>
      </c>
      <c r="C96" s="27"/>
      <c r="D96" s="27"/>
      <c r="E96" s="44">
        <f t="shared" si="0"/>
        <v>85</v>
      </c>
      <c r="F96" s="45" t="s">
        <v>447</v>
      </c>
      <c r="G96" s="30" t="s">
        <v>448</v>
      </c>
      <c r="H96" s="31" t="s">
        <v>449</v>
      </c>
      <c r="I96" s="32">
        <f>[1]Итог!D134</f>
        <v>0</v>
      </c>
      <c r="J96" s="33">
        <f>[1]Ведомость!D143</f>
        <v>10470</v>
      </c>
      <c r="K96" s="34">
        <f t="shared" si="2"/>
        <v>0</v>
      </c>
      <c r="M96" s="10"/>
      <c r="O96" s="10">
        <v>0.374</v>
      </c>
      <c r="P96" s="16"/>
      <c r="Q96" s="17"/>
      <c r="R96" s="17"/>
      <c r="S96" s="5"/>
    </row>
    <row r="97" spans="1:19" ht="12.75" customHeight="1">
      <c r="A97" s="1" t="s">
        <v>22</v>
      </c>
      <c r="B97" s="66" t="s">
        <v>450</v>
      </c>
      <c r="C97" s="89" t="s">
        <v>451</v>
      </c>
      <c r="D97" s="27" t="s">
        <v>452</v>
      </c>
      <c r="E97" s="44">
        <f t="shared" si="0"/>
        <v>86</v>
      </c>
      <c r="F97" s="67" t="s">
        <v>453</v>
      </c>
      <c r="G97" s="90" t="s">
        <v>454</v>
      </c>
      <c r="H97" s="91" t="s">
        <v>455</v>
      </c>
      <c r="I97" s="39">
        <f>[1]Итог!D138</f>
        <v>0.314</v>
      </c>
      <c r="J97" s="85">
        <f>[1]Ведомость!D147</f>
        <v>10470</v>
      </c>
      <c r="K97" s="34">
        <f t="shared" si="2"/>
        <v>4010.8475999999996</v>
      </c>
      <c r="L97" s="92"/>
      <c r="M97" s="10"/>
      <c r="N97" s="92"/>
      <c r="O97" s="10">
        <v>18.175999999999998</v>
      </c>
      <c r="P97" s="16"/>
      <c r="Q97" s="17"/>
      <c r="R97" s="17"/>
      <c r="S97" s="5"/>
    </row>
    <row r="98" spans="1:19">
      <c r="A98" s="1" t="s">
        <v>22</v>
      </c>
      <c r="B98" s="27" t="s">
        <v>456</v>
      </c>
      <c r="C98" s="27" t="s">
        <v>457</v>
      </c>
      <c r="D98" s="27" t="s">
        <v>458</v>
      </c>
      <c r="E98" s="44">
        <f t="shared" si="0"/>
        <v>87</v>
      </c>
      <c r="F98" s="45" t="s">
        <v>459</v>
      </c>
      <c r="G98" s="30" t="s">
        <v>460</v>
      </c>
      <c r="H98" s="31" t="s">
        <v>461</v>
      </c>
      <c r="I98" s="32">
        <f>[1]Итог!D109</f>
        <v>30.616</v>
      </c>
      <c r="J98" s="33">
        <f>[1]Ведомость!D117</f>
        <v>10470</v>
      </c>
      <c r="K98" s="34">
        <f t="shared" si="2"/>
        <v>391070.41440000001</v>
      </c>
      <c r="M98" s="10"/>
      <c r="O98" s="10">
        <v>0.55100000000000005</v>
      </c>
      <c r="P98" s="16"/>
      <c r="Q98" s="17"/>
      <c r="R98" s="17"/>
      <c r="S98" s="5"/>
    </row>
    <row r="99" spans="1:19">
      <c r="B99" s="27" t="s">
        <v>462</v>
      </c>
      <c r="C99" s="27" t="s">
        <v>463</v>
      </c>
      <c r="D99" s="27"/>
      <c r="E99" s="44">
        <f t="shared" si="0"/>
        <v>88</v>
      </c>
      <c r="F99" s="45" t="s">
        <v>464</v>
      </c>
      <c r="G99" s="30" t="s">
        <v>465</v>
      </c>
      <c r="H99" s="31" t="s">
        <v>466</v>
      </c>
      <c r="I99" s="32">
        <f>[1]Итог!D139</f>
        <v>2.1800000000000002</v>
      </c>
      <c r="J99" s="33">
        <f>[1]Ведомость!D148</f>
        <v>10470</v>
      </c>
      <c r="K99" s="34">
        <f t="shared" si="2"/>
        <v>27846.012000000002</v>
      </c>
      <c r="M99" s="10"/>
      <c r="O99" s="10">
        <v>2.1110000000000002</v>
      </c>
      <c r="P99" s="16"/>
      <c r="Q99" s="17"/>
      <c r="R99" s="17"/>
      <c r="S99" s="5"/>
    </row>
    <row r="100" spans="1:19">
      <c r="A100" s="1" t="s">
        <v>22</v>
      </c>
      <c r="B100" s="27" t="s">
        <v>467</v>
      </c>
      <c r="C100" s="27" t="s">
        <v>468</v>
      </c>
      <c r="D100" s="27"/>
      <c r="E100" s="44">
        <f t="shared" si="0"/>
        <v>89</v>
      </c>
      <c r="F100" s="45" t="s">
        <v>469</v>
      </c>
      <c r="G100" s="30" t="s">
        <v>470</v>
      </c>
      <c r="H100" s="31" t="s">
        <v>471</v>
      </c>
      <c r="I100" s="32">
        <f>[1]Итог!D140</f>
        <v>28.695</v>
      </c>
      <c r="J100" s="33">
        <f>[1]Ведомость!D149</f>
        <v>10470</v>
      </c>
      <c r="K100" s="34">
        <f t="shared" si="2"/>
        <v>366532.71300000005</v>
      </c>
      <c r="M100" s="10"/>
      <c r="O100" s="10">
        <v>7.9569999999999999</v>
      </c>
      <c r="P100" s="16"/>
      <c r="Q100" s="17"/>
      <c r="R100" s="17"/>
      <c r="S100" s="5"/>
    </row>
    <row r="101" spans="1:19">
      <c r="B101" s="27" t="s">
        <v>472</v>
      </c>
      <c r="C101" s="27" t="s">
        <v>473</v>
      </c>
      <c r="D101" s="27"/>
      <c r="E101" s="44">
        <f t="shared" si="0"/>
        <v>90</v>
      </c>
      <c r="F101" s="45" t="s">
        <v>474</v>
      </c>
      <c r="G101" s="30" t="s">
        <v>475</v>
      </c>
      <c r="H101" s="31" t="s">
        <v>476</v>
      </c>
      <c r="I101" s="32">
        <f>[1]Итог!D141</f>
        <v>0</v>
      </c>
      <c r="J101" s="33">
        <f>[1]Ведомость!D150</f>
        <v>10470</v>
      </c>
      <c r="K101" s="34">
        <f t="shared" si="2"/>
        <v>0</v>
      </c>
      <c r="M101" s="10"/>
      <c r="O101" s="10">
        <v>0.67400000000000004</v>
      </c>
      <c r="P101" s="16"/>
      <c r="Q101" s="17"/>
      <c r="R101" s="17"/>
      <c r="S101" s="5"/>
    </row>
    <row r="102" spans="1:19">
      <c r="A102" s="1" t="s">
        <v>22</v>
      </c>
      <c r="B102" s="27" t="s">
        <v>477</v>
      </c>
      <c r="C102" s="27" t="s">
        <v>478</v>
      </c>
      <c r="D102" s="27"/>
      <c r="E102" s="44">
        <f t="shared" si="0"/>
        <v>91</v>
      </c>
      <c r="F102" s="45" t="s">
        <v>479</v>
      </c>
      <c r="G102" s="30" t="s">
        <v>480</v>
      </c>
      <c r="H102" s="31" t="s">
        <v>481</v>
      </c>
      <c r="I102" s="32">
        <f>[1]Итог!D142</f>
        <v>18.643000000000001</v>
      </c>
      <c r="J102" s="33">
        <f>[1]Ведомость!D151</f>
        <v>10470</v>
      </c>
      <c r="K102" s="34">
        <f t="shared" si="2"/>
        <v>238134.49620000002</v>
      </c>
      <c r="M102" s="10"/>
      <c r="O102" s="10">
        <v>17.367000000000001</v>
      </c>
      <c r="P102" s="16"/>
      <c r="Q102" s="17"/>
      <c r="R102" s="17"/>
      <c r="S102" s="5"/>
    </row>
    <row r="103" spans="1:19">
      <c r="A103" s="1" t="s">
        <v>22</v>
      </c>
      <c r="B103" s="38" t="s">
        <v>482</v>
      </c>
      <c r="C103" s="27" t="s">
        <v>483</v>
      </c>
      <c r="D103" s="27"/>
      <c r="E103" s="44">
        <f t="shared" si="0"/>
        <v>92</v>
      </c>
      <c r="F103" s="45" t="s">
        <v>484</v>
      </c>
      <c r="G103" s="30" t="s">
        <v>485</v>
      </c>
      <c r="H103" s="31" t="s">
        <v>486</v>
      </c>
      <c r="I103" s="32">
        <f>[1]Итог!D143</f>
        <v>105.29</v>
      </c>
      <c r="J103" s="33">
        <f>[1]Ведомость!D152</f>
        <v>10470</v>
      </c>
      <c r="K103" s="34">
        <f t="shared" si="2"/>
        <v>1344911.2860000001</v>
      </c>
      <c r="M103" s="10"/>
      <c r="O103" s="10">
        <v>59.424999999999997</v>
      </c>
      <c r="P103" s="16"/>
      <c r="Q103" s="17"/>
      <c r="R103" s="17"/>
      <c r="S103" s="5"/>
    </row>
    <row r="104" spans="1:19">
      <c r="A104" s="1" t="s">
        <v>22</v>
      </c>
      <c r="B104" s="27" t="s">
        <v>487</v>
      </c>
      <c r="C104" s="27" t="s">
        <v>488</v>
      </c>
      <c r="D104" s="27" t="s">
        <v>489</v>
      </c>
      <c r="E104" s="44">
        <f t="shared" si="0"/>
        <v>93</v>
      </c>
      <c r="F104" s="45" t="s">
        <v>490</v>
      </c>
      <c r="G104" s="30" t="s">
        <v>491</v>
      </c>
      <c r="H104" s="31" t="s">
        <v>492</v>
      </c>
      <c r="I104" s="32">
        <f>[1]Итог!D144</f>
        <v>21.823</v>
      </c>
      <c r="J104" s="33">
        <f>[1]Ведомость!D153</f>
        <v>10470</v>
      </c>
      <c r="K104" s="34">
        <f t="shared" si="2"/>
        <v>278753.90820000001</v>
      </c>
      <c r="M104" s="10"/>
      <c r="O104" s="10">
        <v>13.74</v>
      </c>
      <c r="P104" s="16"/>
      <c r="Q104" s="17"/>
      <c r="R104" s="17"/>
      <c r="S104" s="5"/>
    </row>
    <row r="105" spans="1:19">
      <c r="A105" s="1" t="s">
        <v>22</v>
      </c>
      <c r="B105" s="27" t="s">
        <v>493</v>
      </c>
      <c r="C105" s="27"/>
      <c r="D105" s="27"/>
      <c r="E105" s="44">
        <f t="shared" si="0"/>
        <v>94</v>
      </c>
      <c r="F105" s="45" t="s">
        <v>494</v>
      </c>
      <c r="G105" s="30">
        <v>7811764842</v>
      </c>
      <c r="H105" s="31" t="s">
        <v>495</v>
      </c>
      <c r="I105" s="32">
        <f>[1]Итог!D145</f>
        <v>4.5049999999999999</v>
      </c>
      <c r="J105" s="33">
        <f>[1]Ведомость!D154</f>
        <v>10470</v>
      </c>
      <c r="K105" s="34">
        <f t="shared" si="2"/>
        <v>57544.166999999994</v>
      </c>
      <c r="M105" s="10"/>
      <c r="O105" s="10">
        <v>1.7070000000000001</v>
      </c>
      <c r="P105" s="16"/>
      <c r="Q105" s="17"/>
      <c r="R105" s="17"/>
      <c r="S105" s="5"/>
    </row>
    <row r="106" spans="1:19">
      <c r="B106" s="27" t="s">
        <v>496</v>
      </c>
      <c r="C106" s="27" t="s">
        <v>497</v>
      </c>
      <c r="D106" s="27" t="s">
        <v>498</v>
      </c>
      <c r="E106" s="44">
        <f t="shared" si="0"/>
        <v>95</v>
      </c>
      <c r="F106" s="45" t="s">
        <v>499</v>
      </c>
      <c r="G106" s="30">
        <v>7801500833</v>
      </c>
      <c r="H106" s="31" t="s">
        <v>500</v>
      </c>
      <c r="I106" s="32">
        <f>[1]Итог!D146</f>
        <v>5.0449999999999999</v>
      </c>
      <c r="J106" s="33">
        <f>[1]Ведомость!D155</f>
        <v>10470</v>
      </c>
      <c r="K106" s="34">
        <f t="shared" si="2"/>
        <v>64441.803</v>
      </c>
      <c r="M106" s="10"/>
      <c r="O106" s="10">
        <v>4.5720000000000001</v>
      </c>
      <c r="P106" s="16"/>
      <c r="Q106" s="17"/>
      <c r="R106" s="17"/>
      <c r="S106" s="5"/>
    </row>
    <row r="107" spans="1:19">
      <c r="A107" s="1" t="s">
        <v>22</v>
      </c>
      <c r="B107" s="27" t="s">
        <v>501</v>
      </c>
      <c r="C107" s="27" t="s">
        <v>502</v>
      </c>
      <c r="D107" s="27" t="s">
        <v>389</v>
      </c>
      <c r="E107" s="44">
        <f t="shared" si="0"/>
        <v>96</v>
      </c>
      <c r="F107" s="45" t="s">
        <v>503</v>
      </c>
      <c r="G107" s="30">
        <v>7805815866</v>
      </c>
      <c r="H107" s="31" t="s">
        <v>504</v>
      </c>
      <c r="I107" s="32">
        <f>[1]Итог!D147</f>
        <v>5.133</v>
      </c>
      <c r="J107" s="33">
        <f>[1]Ведомость!D156</f>
        <v>10470</v>
      </c>
      <c r="K107" s="34">
        <f t="shared" si="2"/>
        <v>65565.862200000003</v>
      </c>
      <c r="M107" s="10"/>
      <c r="O107" s="10">
        <v>1.417</v>
      </c>
      <c r="P107" s="16"/>
      <c r="Q107" s="17"/>
      <c r="R107" s="17"/>
      <c r="S107" s="5"/>
    </row>
    <row r="108" spans="1:19" ht="14.25" customHeight="1">
      <c r="B108" s="93" t="s">
        <v>505</v>
      </c>
      <c r="C108" s="72" t="s">
        <v>506</v>
      </c>
      <c r="D108" s="27" t="s">
        <v>507</v>
      </c>
      <c r="E108" s="44">
        <f t="shared" si="0"/>
        <v>97</v>
      </c>
      <c r="F108" s="45" t="s">
        <v>508</v>
      </c>
      <c r="G108" s="30" t="s">
        <v>509</v>
      </c>
      <c r="H108" s="31" t="s">
        <v>510</v>
      </c>
      <c r="I108" s="32">
        <f>[1]Итог!D20</f>
        <v>141.84200000000001</v>
      </c>
      <c r="J108" s="33">
        <f>[1]Ведомость!D157</f>
        <v>10470</v>
      </c>
      <c r="K108" s="34">
        <f t="shared" si="2"/>
        <v>1811804.6028000002</v>
      </c>
      <c r="L108" s="8"/>
      <c r="M108" s="10"/>
      <c r="O108" s="10">
        <v>3.2839999999999998</v>
      </c>
      <c r="P108" s="16"/>
      <c r="Q108" s="17"/>
      <c r="R108" s="17"/>
      <c r="S108" s="5"/>
    </row>
    <row r="109" spans="1:19">
      <c r="A109" s="1" t="s">
        <v>22</v>
      </c>
      <c r="B109" s="27" t="s">
        <v>511</v>
      </c>
      <c r="C109" s="27" t="s">
        <v>512</v>
      </c>
      <c r="D109" s="27"/>
      <c r="E109" s="44">
        <f t="shared" si="0"/>
        <v>98</v>
      </c>
      <c r="F109" s="45" t="s">
        <v>513</v>
      </c>
      <c r="G109" s="30" t="s">
        <v>514</v>
      </c>
      <c r="H109" s="31" t="s">
        <v>515</v>
      </c>
      <c r="I109" s="32">
        <f>[1]Итог!D149</f>
        <v>1.3140000000000001</v>
      </c>
      <c r="J109" s="33">
        <f>[1]Ведомость!D159</f>
        <v>10470</v>
      </c>
      <c r="K109" s="34">
        <f t="shared" si="2"/>
        <v>16784.247599999999</v>
      </c>
      <c r="M109" s="10"/>
      <c r="O109" s="10">
        <v>2.9670000000000001</v>
      </c>
      <c r="P109" s="37"/>
      <c r="Q109" s="17"/>
      <c r="R109" s="17"/>
    </row>
    <row r="110" spans="1:19">
      <c r="A110" s="1" t="s">
        <v>22</v>
      </c>
      <c r="B110" s="27" t="s">
        <v>516</v>
      </c>
      <c r="C110" s="27" t="s">
        <v>517</v>
      </c>
      <c r="D110" s="27" t="s">
        <v>518</v>
      </c>
      <c r="E110" s="44">
        <f t="shared" si="0"/>
        <v>99</v>
      </c>
      <c r="F110" s="45" t="s">
        <v>519</v>
      </c>
      <c r="G110" s="30" t="s">
        <v>520</v>
      </c>
      <c r="H110" s="31" t="s">
        <v>521</v>
      </c>
      <c r="I110" s="32">
        <f>[1]Итог!D150</f>
        <v>4.9000000000000004</v>
      </c>
      <c r="J110" s="33">
        <f>[1]Ведомость!D160</f>
        <v>10470</v>
      </c>
      <c r="K110" s="34">
        <f t="shared" si="2"/>
        <v>62589.660000000011</v>
      </c>
      <c r="M110" s="10"/>
      <c r="O110" s="10">
        <v>2.9089999999999998</v>
      </c>
      <c r="P110" s="16"/>
      <c r="Q110" s="17"/>
      <c r="R110" s="17"/>
    </row>
    <row r="111" spans="1:19">
      <c r="A111" s="1" t="s">
        <v>22</v>
      </c>
      <c r="B111" s="27" t="s">
        <v>522</v>
      </c>
      <c r="C111" s="27" t="s">
        <v>523</v>
      </c>
      <c r="D111" s="27"/>
      <c r="E111" s="44">
        <f t="shared" si="0"/>
        <v>100</v>
      </c>
      <c r="F111" s="45" t="s">
        <v>524</v>
      </c>
      <c r="G111" s="30" t="s">
        <v>525</v>
      </c>
      <c r="H111" s="31" t="s">
        <v>526</v>
      </c>
      <c r="I111" s="32">
        <f>[1]Итог!D151</f>
        <v>71.570999999999998</v>
      </c>
      <c r="J111" s="33">
        <f>[1]Ведомость!D161</f>
        <v>10470</v>
      </c>
      <c r="K111" s="34">
        <f t="shared" si="2"/>
        <v>914205.01139999996</v>
      </c>
      <c r="M111" s="10"/>
      <c r="O111" s="10">
        <v>11.85</v>
      </c>
      <c r="P111" s="16"/>
      <c r="Q111" s="17"/>
      <c r="R111" s="17"/>
    </row>
    <row r="112" spans="1:19">
      <c r="A112" s="1" t="s">
        <v>22</v>
      </c>
      <c r="B112" s="27" t="s">
        <v>527</v>
      </c>
      <c r="C112" s="27" t="s">
        <v>528</v>
      </c>
      <c r="D112" s="27"/>
      <c r="E112" s="44">
        <f t="shared" si="0"/>
        <v>101</v>
      </c>
      <c r="F112" s="45" t="s">
        <v>529</v>
      </c>
      <c r="G112" s="30" t="s">
        <v>530</v>
      </c>
      <c r="H112" s="31" t="s">
        <v>531</v>
      </c>
      <c r="I112" s="32">
        <f>[1]Итог!D153</f>
        <v>109.66</v>
      </c>
      <c r="J112" s="33">
        <f>[1]Ведомость!D163</f>
        <v>10470</v>
      </c>
      <c r="K112" s="34">
        <f t="shared" si="2"/>
        <v>1400731.044</v>
      </c>
      <c r="M112" s="10"/>
      <c r="O112" s="10">
        <v>4.202</v>
      </c>
      <c r="P112" s="16"/>
      <c r="Q112" s="17"/>
      <c r="R112" s="17"/>
      <c r="S112" s="5"/>
    </row>
    <row r="113" spans="1:19" ht="18.75" customHeight="1">
      <c r="A113" s="1" t="s">
        <v>22</v>
      </c>
      <c r="B113" s="72" t="s">
        <v>532</v>
      </c>
      <c r="C113" s="27" t="s">
        <v>423</v>
      </c>
      <c r="D113" s="27" t="s">
        <v>424</v>
      </c>
      <c r="E113" s="44">
        <f t="shared" si="0"/>
        <v>102</v>
      </c>
      <c r="F113" s="45" t="s">
        <v>533</v>
      </c>
      <c r="G113" s="30" t="s">
        <v>534</v>
      </c>
      <c r="H113" s="31" t="s">
        <v>535</v>
      </c>
      <c r="I113" s="32">
        <f>[1]Итог!D154</f>
        <v>160.44</v>
      </c>
      <c r="J113" s="33">
        <f>[1]Ведомость!D164</f>
        <v>10470</v>
      </c>
      <c r="K113" s="34">
        <f t="shared" si="2"/>
        <v>2049364.2960000001</v>
      </c>
      <c r="M113" s="10"/>
      <c r="O113" s="10">
        <v>2.665</v>
      </c>
      <c r="P113" s="16"/>
      <c r="Q113" s="17"/>
      <c r="R113" s="17"/>
      <c r="S113" s="5"/>
    </row>
    <row r="114" spans="1:19">
      <c r="A114" s="1" t="s">
        <v>22</v>
      </c>
      <c r="B114" s="27" t="s">
        <v>536</v>
      </c>
      <c r="C114" s="27" t="s">
        <v>537</v>
      </c>
      <c r="D114" s="27" t="s">
        <v>538</v>
      </c>
      <c r="E114" s="44">
        <f t="shared" si="0"/>
        <v>103</v>
      </c>
      <c r="F114" s="45" t="s">
        <v>539</v>
      </c>
      <c r="G114" s="30" t="s">
        <v>540</v>
      </c>
      <c r="H114" s="31" t="s">
        <v>541</v>
      </c>
      <c r="I114" s="32">
        <f>[1]Итог!D155</f>
        <v>16.986999999999998</v>
      </c>
      <c r="J114" s="33">
        <f>[1]Ведомость!D165</f>
        <v>10470</v>
      </c>
      <c r="K114" s="34">
        <f t="shared" si="2"/>
        <v>216981.74579999998</v>
      </c>
      <c r="M114" s="10"/>
      <c r="O114" s="10">
        <v>0.40500000000000003</v>
      </c>
      <c r="P114" s="16"/>
      <c r="Q114" s="17"/>
      <c r="R114" s="17"/>
    </row>
    <row r="115" spans="1:19">
      <c r="A115" s="1" t="s">
        <v>22</v>
      </c>
      <c r="B115" s="27" t="s">
        <v>542</v>
      </c>
      <c r="C115" s="27" t="s">
        <v>543</v>
      </c>
      <c r="D115" s="27"/>
      <c r="E115" s="44">
        <f t="shared" si="0"/>
        <v>104</v>
      </c>
      <c r="F115" s="45" t="s">
        <v>544</v>
      </c>
      <c r="G115" s="30" t="s">
        <v>545</v>
      </c>
      <c r="H115" s="31" t="s">
        <v>546</v>
      </c>
      <c r="I115" s="32">
        <f>[1]Итог!D157</f>
        <v>0.04</v>
      </c>
      <c r="J115" s="33">
        <f>[1]Ведомость!D167</f>
        <v>10470</v>
      </c>
      <c r="K115" s="34">
        <f t="shared" si="2"/>
        <v>510.93599999999998</v>
      </c>
      <c r="M115" s="10"/>
      <c r="O115" s="10">
        <v>1.7549999999999999</v>
      </c>
      <c r="P115" s="16"/>
      <c r="Q115" s="17"/>
      <c r="R115" s="17"/>
    </row>
    <row r="116" spans="1:19">
      <c r="A116" s="1" t="s">
        <v>22</v>
      </c>
      <c r="B116" s="27" t="s">
        <v>547</v>
      </c>
      <c r="C116" s="27" t="s">
        <v>548</v>
      </c>
      <c r="D116" s="27" t="s">
        <v>549</v>
      </c>
      <c r="E116" s="44">
        <f t="shared" si="0"/>
        <v>105</v>
      </c>
      <c r="F116" s="45" t="s">
        <v>550</v>
      </c>
      <c r="G116" s="30" t="s">
        <v>551</v>
      </c>
      <c r="H116" s="31" t="s">
        <v>552</v>
      </c>
      <c r="I116" s="32">
        <f>[1]Итог!D158</f>
        <v>0.10199999999999999</v>
      </c>
      <c r="J116" s="33">
        <f>[1]Ведомость!D168</f>
        <v>10470</v>
      </c>
      <c r="K116" s="34">
        <f t="shared" si="2"/>
        <v>1302.8867999999998</v>
      </c>
      <c r="M116" s="10"/>
      <c r="O116" s="10">
        <v>1.1599999999999999</v>
      </c>
      <c r="P116" s="16"/>
      <c r="Q116" s="17"/>
      <c r="R116" s="17"/>
    </row>
    <row r="117" spans="1:19">
      <c r="A117" s="1" t="s">
        <v>22</v>
      </c>
      <c r="B117" s="27" t="s">
        <v>553</v>
      </c>
      <c r="C117" s="27" t="s">
        <v>554</v>
      </c>
      <c r="D117" s="27"/>
      <c r="E117" s="44">
        <f t="shared" si="0"/>
        <v>106</v>
      </c>
      <c r="F117" s="45" t="s">
        <v>555</v>
      </c>
      <c r="G117" s="30" t="s">
        <v>556</v>
      </c>
      <c r="H117" s="31" t="s">
        <v>557</v>
      </c>
      <c r="I117" s="32">
        <f>[1]Итог!D160</f>
        <v>0.26200000000000001</v>
      </c>
      <c r="J117" s="33">
        <f>[1]Ведомость!D170</f>
        <v>10470</v>
      </c>
      <c r="K117" s="34">
        <f t="shared" si="2"/>
        <v>3346.6308000000004</v>
      </c>
      <c r="M117" s="10"/>
      <c r="O117" s="10">
        <v>4.4139999999999997</v>
      </c>
      <c r="P117" s="16"/>
      <c r="Q117" s="17"/>
      <c r="R117" s="17"/>
    </row>
    <row r="118" spans="1:19">
      <c r="B118" s="27" t="s">
        <v>558</v>
      </c>
      <c r="C118" s="27" t="s">
        <v>559</v>
      </c>
      <c r="D118" s="27" t="s">
        <v>560</v>
      </c>
      <c r="E118" s="44">
        <f t="shared" si="0"/>
        <v>107</v>
      </c>
      <c r="F118" s="45" t="s">
        <v>561</v>
      </c>
      <c r="G118" s="53" t="s">
        <v>562</v>
      </c>
      <c r="H118" s="31" t="s">
        <v>563</v>
      </c>
      <c r="I118" s="32">
        <f>[1]Итог!D163</f>
        <v>2.9089999999999998</v>
      </c>
      <c r="J118" s="33">
        <f>[1]Ведомость!D66</f>
        <v>10470</v>
      </c>
      <c r="K118" s="34">
        <f t="shared" si="2"/>
        <v>37157.820599999999</v>
      </c>
      <c r="M118" s="10"/>
      <c r="O118" s="10">
        <v>2.173</v>
      </c>
      <c r="P118" s="16"/>
      <c r="Q118" s="35"/>
      <c r="R118" s="17"/>
      <c r="S118" s="5"/>
    </row>
    <row r="119" spans="1:19">
      <c r="B119" s="66" t="s">
        <v>564</v>
      </c>
      <c r="C119" s="46" t="s">
        <v>565</v>
      </c>
      <c r="D119" s="27"/>
      <c r="E119" s="44">
        <f t="shared" si="0"/>
        <v>108</v>
      </c>
      <c r="F119" s="67" t="s">
        <v>566</v>
      </c>
      <c r="G119" s="90" t="s">
        <v>567</v>
      </c>
      <c r="H119" s="69" t="s">
        <v>568</v>
      </c>
      <c r="I119" s="39">
        <f>[1]Итог!D164</f>
        <v>0.14799999999999999</v>
      </c>
      <c r="J119" s="85">
        <f>[1]Ведомость!D174</f>
        <v>10470</v>
      </c>
      <c r="K119" s="34">
        <f t="shared" si="2"/>
        <v>1890.4631999999999</v>
      </c>
      <c r="M119" s="10"/>
      <c r="O119" s="10">
        <v>4.6509999999999998</v>
      </c>
      <c r="P119" s="16"/>
      <c r="Q119" s="17"/>
      <c r="R119" s="17"/>
      <c r="S119" s="5"/>
    </row>
    <row r="120" spans="1:19">
      <c r="B120" s="94" t="s">
        <v>569</v>
      </c>
      <c r="C120" s="94" t="s">
        <v>570</v>
      </c>
      <c r="D120" s="95"/>
      <c r="E120" s="44">
        <f t="shared" si="0"/>
        <v>109</v>
      </c>
      <c r="F120" s="67" t="s">
        <v>571</v>
      </c>
      <c r="G120" s="30" t="s">
        <v>572</v>
      </c>
      <c r="H120" s="31" t="s">
        <v>573</v>
      </c>
      <c r="I120" s="32">
        <f>[1]Итог!D165</f>
        <v>3.3559999999999999</v>
      </c>
      <c r="J120" s="33">
        <f>[1]Ведомость!D175</f>
        <v>10470</v>
      </c>
      <c r="K120" s="34">
        <f t="shared" si="2"/>
        <v>42867.530399999996</v>
      </c>
      <c r="M120" s="10"/>
      <c r="O120" s="10">
        <v>2.7530000000000001</v>
      </c>
      <c r="P120" s="16"/>
      <c r="Q120" s="17"/>
      <c r="R120" s="17"/>
      <c r="S120" s="5"/>
    </row>
    <row r="121" spans="1:19">
      <c r="B121" s="27" t="s">
        <v>574</v>
      </c>
      <c r="C121" s="27" t="s">
        <v>575</v>
      </c>
      <c r="D121" s="27"/>
      <c r="E121" s="44">
        <f t="shared" si="0"/>
        <v>110</v>
      </c>
      <c r="F121" s="29" t="s">
        <v>576</v>
      </c>
      <c r="G121" s="87" t="s">
        <v>577</v>
      </c>
      <c r="H121" s="40" t="s">
        <v>578</v>
      </c>
      <c r="I121" s="32">
        <f>[1]Итог!D167</f>
        <v>9.3859999999999992</v>
      </c>
      <c r="J121" s="33">
        <f>[1]Ведомость!D177</f>
        <v>10470</v>
      </c>
      <c r="K121" s="34">
        <f t="shared" si="2"/>
        <v>119891.1324</v>
      </c>
      <c r="M121" s="10"/>
      <c r="O121" s="10">
        <v>10.44</v>
      </c>
      <c r="P121" s="16"/>
      <c r="Q121" s="17"/>
      <c r="R121" s="17"/>
      <c r="S121" s="5"/>
    </row>
    <row r="122" spans="1:19">
      <c r="A122" s="1" t="s">
        <v>22</v>
      </c>
      <c r="B122" s="27" t="s">
        <v>579</v>
      </c>
      <c r="C122" s="27" t="s">
        <v>580</v>
      </c>
      <c r="D122" s="27" t="s">
        <v>581</v>
      </c>
      <c r="E122" s="44">
        <f t="shared" si="0"/>
        <v>111</v>
      </c>
      <c r="F122" s="29" t="s">
        <v>582</v>
      </c>
      <c r="G122" s="87" t="s">
        <v>583</v>
      </c>
      <c r="H122" s="40" t="s">
        <v>584</v>
      </c>
      <c r="I122" s="32">
        <f>[1]Итог!D168</f>
        <v>2.4470000000000001</v>
      </c>
      <c r="J122" s="33">
        <f>[1]Ведомость!D178</f>
        <v>10470</v>
      </c>
      <c r="K122" s="34">
        <f t="shared" si="2"/>
        <v>31256.5098</v>
      </c>
      <c r="M122" s="10"/>
      <c r="O122" s="10">
        <v>0.19800000000000001</v>
      </c>
      <c r="P122" s="16"/>
      <c r="Q122" s="17"/>
      <c r="R122" s="17"/>
    </row>
    <row r="123" spans="1:19">
      <c r="A123" s="1" t="s">
        <v>22</v>
      </c>
      <c r="B123" s="27" t="s">
        <v>585</v>
      </c>
      <c r="C123" s="27" t="s">
        <v>586</v>
      </c>
      <c r="D123" s="27"/>
      <c r="E123" s="44">
        <f t="shared" si="0"/>
        <v>112</v>
      </c>
      <c r="F123" s="29" t="s">
        <v>587</v>
      </c>
      <c r="G123" s="87" t="s">
        <v>588</v>
      </c>
      <c r="H123" s="40" t="s">
        <v>589</v>
      </c>
      <c r="I123" s="32">
        <f>[1]Итог!D82</f>
        <v>6.54</v>
      </c>
      <c r="J123" s="33">
        <f>[1]Ведомость!D89</f>
        <v>10470</v>
      </c>
      <c r="K123" s="34">
        <f t="shared" si="2"/>
        <v>83538.036000000007</v>
      </c>
      <c r="M123" s="10"/>
      <c r="O123" s="10">
        <v>4.8959999999999999</v>
      </c>
      <c r="P123" s="16"/>
      <c r="Q123" s="17"/>
      <c r="R123" s="17"/>
    </row>
    <row r="124" spans="1:19">
      <c r="A124" s="1" t="s">
        <v>22</v>
      </c>
      <c r="B124" s="27" t="s">
        <v>590</v>
      </c>
      <c r="C124" s="27" t="s">
        <v>591</v>
      </c>
      <c r="D124" s="27" t="s">
        <v>592</v>
      </c>
      <c r="E124" s="44">
        <f t="shared" si="0"/>
        <v>113</v>
      </c>
      <c r="F124" s="29" t="s">
        <v>593</v>
      </c>
      <c r="G124" s="87" t="s">
        <v>594</v>
      </c>
      <c r="H124" s="40" t="s">
        <v>595</v>
      </c>
      <c r="I124" s="32">
        <f>[1]Итог!D169</f>
        <v>13.93</v>
      </c>
      <c r="J124" s="33">
        <f>[1]Ведомость!D179</f>
        <v>10470</v>
      </c>
      <c r="K124" s="34">
        <f t="shared" si="2"/>
        <v>177933.462</v>
      </c>
      <c r="M124" s="10"/>
      <c r="O124" s="10">
        <v>3.5870000000000002</v>
      </c>
      <c r="P124" s="16"/>
      <c r="Q124" s="17"/>
      <c r="R124" s="17"/>
      <c r="S124" s="5"/>
    </row>
    <row r="125" spans="1:19">
      <c r="B125" s="27" t="s">
        <v>596</v>
      </c>
      <c r="C125" s="27" t="s">
        <v>597</v>
      </c>
      <c r="D125" s="27"/>
      <c r="E125" s="44">
        <f t="shared" si="0"/>
        <v>114</v>
      </c>
      <c r="F125" s="45" t="s">
        <v>598</v>
      </c>
      <c r="G125" s="30" t="s">
        <v>599</v>
      </c>
      <c r="H125" s="31" t="s">
        <v>600</v>
      </c>
      <c r="I125" s="32">
        <f>[1]Итог!D171</f>
        <v>190.42599999999999</v>
      </c>
      <c r="J125" s="33">
        <f>[1]Ведомость!D181</f>
        <v>10470</v>
      </c>
      <c r="K125" s="34">
        <f t="shared" si="2"/>
        <v>2432387.4684000001</v>
      </c>
      <c r="M125" s="10"/>
      <c r="O125" s="10">
        <v>0.14199999999999999</v>
      </c>
      <c r="P125" s="16"/>
      <c r="Q125" s="17"/>
      <c r="R125" s="17"/>
      <c r="S125" s="5"/>
    </row>
    <row r="126" spans="1:19">
      <c r="A126" s="1" t="s">
        <v>22</v>
      </c>
      <c r="B126" s="27" t="s">
        <v>601</v>
      </c>
      <c r="C126" s="27" t="s">
        <v>602</v>
      </c>
      <c r="D126" s="27"/>
      <c r="E126" s="44">
        <f t="shared" si="0"/>
        <v>115</v>
      </c>
      <c r="F126" s="45" t="s">
        <v>603</v>
      </c>
      <c r="G126" s="30" t="s">
        <v>604</v>
      </c>
      <c r="H126" s="31" t="s">
        <v>605</v>
      </c>
      <c r="I126" s="32">
        <f>[1]Итог!D172</f>
        <v>1.24</v>
      </c>
      <c r="J126" s="33">
        <f>[1]Ведомость!D182</f>
        <v>10470</v>
      </c>
      <c r="K126" s="34">
        <f t="shared" si="2"/>
        <v>15839.016</v>
      </c>
      <c r="M126" s="10"/>
      <c r="O126" s="10">
        <v>1.2210000000000001</v>
      </c>
      <c r="P126" s="16"/>
      <c r="Q126" s="17"/>
      <c r="R126" s="17"/>
    </row>
    <row r="127" spans="1:19">
      <c r="A127" s="1" t="s">
        <v>22</v>
      </c>
      <c r="B127" s="27" t="s">
        <v>606</v>
      </c>
      <c r="C127" s="27" t="s">
        <v>607</v>
      </c>
      <c r="D127" s="27" t="s">
        <v>608</v>
      </c>
      <c r="E127" s="44">
        <f t="shared" si="0"/>
        <v>116</v>
      </c>
      <c r="F127" s="45" t="s">
        <v>609</v>
      </c>
      <c r="G127" s="30" t="s">
        <v>610</v>
      </c>
      <c r="H127" s="31" t="s">
        <v>611</v>
      </c>
      <c r="I127" s="32">
        <f>[1]Итог!D173</f>
        <v>0.27</v>
      </c>
      <c r="J127" s="33">
        <f>[1]Ведомость!D183</f>
        <v>10470</v>
      </c>
      <c r="K127" s="34">
        <f t="shared" si="2"/>
        <v>3448.8180000000002</v>
      </c>
      <c r="M127" s="10"/>
      <c r="O127" s="10">
        <v>9.02</v>
      </c>
      <c r="P127" s="16"/>
      <c r="Q127" s="17"/>
      <c r="R127" s="17"/>
      <c r="S127" s="5"/>
    </row>
    <row r="128" spans="1:19">
      <c r="A128" s="1" t="s">
        <v>22</v>
      </c>
      <c r="B128" s="27" t="s">
        <v>612</v>
      </c>
      <c r="C128" s="27" t="s">
        <v>613</v>
      </c>
      <c r="D128" s="27" t="s">
        <v>614</v>
      </c>
      <c r="E128" s="44">
        <f t="shared" si="0"/>
        <v>117</v>
      </c>
      <c r="F128" s="45" t="s">
        <v>615</v>
      </c>
      <c r="G128" s="30" t="s">
        <v>616</v>
      </c>
      <c r="H128" s="31" t="s">
        <v>617</v>
      </c>
      <c r="I128" s="32">
        <f>[1]Итог!D174</f>
        <v>4.74</v>
      </c>
      <c r="J128" s="33">
        <f>[1]Ведомость!D184</f>
        <v>10470</v>
      </c>
      <c r="K128" s="34">
        <f t="shared" si="2"/>
        <v>60545.916000000005</v>
      </c>
      <c r="M128" s="10"/>
      <c r="O128" s="10">
        <v>1.03</v>
      </c>
      <c r="P128" s="16"/>
      <c r="Q128" s="17"/>
      <c r="R128" s="17"/>
      <c r="S128" s="5"/>
    </row>
    <row r="129" spans="1:19">
      <c r="A129" s="1" t="s">
        <v>22</v>
      </c>
      <c r="B129" s="27" t="s">
        <v>618</v>
      </c>
      <c r="C129" s="27"/>
      <c r="D129" s="27"/>
      <c r="E129" s="44">
        <f t="shared" si="0"/>
        <v>118</v>
      </c>
      <c r="F129" s="45" t="s">
        <v>619</v>
      </c>
      <c r="G129" s="30" t="s">
        <v>620</v>
      </c>
      <c r="H129" s="31" t="s">
        <v>621</v>
      </c>
      <c r="I129" s="32">
        <f>[1]Итог!D175</f>
        <v>4.3999999999999997E-2</v>
      </c>
      <c r="J129" s="33">
        <f>[1]Ведомость!D185</f>
        <v>10470</v>
      </c>
      <c r="K129" s="34">
        <f t="shared" si="2"/>
        <v>562.02959999999996</v>
      </c>
      <c r="M129" s="10"/>
      <c r="O129" s="10">
        <v>0.03</v>
      </c>
      <c r="P129" s="16"/>
      <c r="Q129" s="17"/>
      <c r="R129" s="17"/>
    </row>
    <row r="130" spans="1:19">
      <c r="B130" s="27" t="s">
        <v>622</v>
      </c>
      <c r="C130" s="46" t="s">
        <v>623</v>
      </c>
      <c r="D130" s="27"/>
      <c r="E130" s="44">
        <f t="shared" si="0"/>
        <v>119</v>
      </c>
      <c r="F130" s="45" t="s">
        <v>624</v>
      </c>
      <c r="G130" s="96">
        <v>780100743391</v>
      </c>
      <c r="H130" s="49" t="s">
        <v>625</v>
      </c>
      <c r="I130" s="50">
        <f>[1]Итог!D176</f>
        <v>118.801</v>
      </c>
      <c r="J130" s="41">
        <f>[1]Ведомость!D186</f>
        <v>8940</v>
      </c>
      <c r="K130" s="34">
        <f t="shared" si="2"/>
        <v>1295738.7467999998</v>
      </c>
      <c r="M130" s="10"/>
      <c r="O130" s="10">
        <v>0.32200000000000001</v>
      </c>
      <c r="P130" s="16"/>
      <c r="Q130" s="17"/>
      <c r="R130" s="17"/>
      <c r="S130" s="5"/>
    </row>
    <row r="131" spans="1:19">
      <c r="B131" s="27" t="s">
        <v>626</v>
      </c>
      <c r="C131" s="46" t="s">
        <v>627</v>
      </c>
      <c r="D131" s="27"/>
      <c r="E131" s="44">
        <f t="shared" si="0"/>
        <v>120</v>
      </c>
      <c r="F131" s="45" t="s">
        <v>628</v>
      </c>
      <c r="G131" s="30" t="s">
        <v>629</v>
      </c>
      <c r="H131" s="31" t="s">
        <v>630</v>
      </c>
      <c r="I131" s="32">
        <f>[1]Итог!D177</f>
        <v>0.20599999999999999</v>
      </c>
      <c r="J131" s="33">
        <f>[1]Ведомость!D187</f>
        <v>10470</v>
      </c>
      <c r="K131" s="34">
        <f t="shared" si="2"/>
        <v>2631.3203999999996</v>
      </c>
      <c r="M131" s="10"/>
      <c r="O131" s="10">
        <v>12.654</v>
      </c>
      <c r="P131" s="16"/>
      <c r="Q131" s="17"/>
      <c r="R131" s="17"/>
      <c r="S131" s="5"/>
    </row>
    <row r="132" spans="1:19">
      <c r="A132" s="1" t="s">
        <v>22</v>
      </c>
      <c r="B132" s="27" t="s">
        <v>631</v>
      </c>
      <c r="C132" s="46">
        <v>89626865347</v>
      </c>
      <c r="D132" s="27"/>
      <c r="E132" s="44">
        <f t="shared" si="0"/>
        <v>121</v>
      </c>
      <c r="F132" s="45" t="s">
        <v>632</v>
      </c>
      <c r="G132" s="30" t="s">
        <v>633</v>
      </c>
      <c r="H132" s="31" t="s">
        <v>634</v>
      </c>
      <c r="I132" s="32">
        <f>[1]Итог!D80</f>
        <v>1.6479999999999999</v>
      </c>
      <c r="J132" s="33">
        <f>[1]Ведомость!D87</f>
        <v>10470</v>
      </c>
      <c r="K132" s="34">
        <f t="shared" si="2"/>
        <v>21050.563199999997</v>
      </c>
      <c r="M132" s="10"/>
      <c r="O132" s="10">
        <v>3.54</v>
      </c>
      <c r="P132" s="16"/>
      <c r="Q132" s="17"/>
      <c r="R132" s="17"/>
      <c r="S132" s="5"/>
    </row>
    <row r="133" spans="1:19">
      <c r="A133" s="1" t="s">
        <v>22</v>
      </c>
      <c r="B133" s="38" t="s">
        <v>635</v>
      </c>
      <c r="C133" s="78" t="s">
        <v>636</v>
      </c>
      <c r="D133" s="27"/>
      <c r="E133" s="44">
        <f t="shared" si="0"/>
        <v>122</v>
      </c>
      <c r="F133" s="45" t="s">
        <v>637</v>
      </c>
      <c r="G133" s="30" t="s">
        <v>638</v>
      </c>
      <c r="H133" s="31" t="s">
        <v>639</v>
      </c>
      <c r="I133" s="32">
        <f>[1]Итог!D103</f>
        <v>1.42</v>
      </c>
      <c r="J133" s="33">
        <f>[1]Ведомость!D110</f>
        <v>10470</v>
      </c>
      <c r="K133" s="34">
        <f t="shared" si="2"/>
        <v>18138.227999999999</v>
      </c>
      <c r="M133" s="10"/>
      <c r="O133" s="10">
        <v>4.3999999999999997E-2</v>
      </c>
      <c r="P133" s="16"/>
      <c r="Q133" s="17"/>
      <c r="R133" s="17"/>
      <c r="S133" s="5"/>
    </row>
    <row r="134" spans="1:19">
      <c r="A134" s="1" t="s">
        <v>22</v>
      </c>
      <c r="B134" s="27" t="s">
        <v>640</v>
      </c>
      <c r="C134" s="27"/>
      <c r="D134" s="27"/>
      <c r="E134" s="44">
        <f t="shared" si="0"/>
        <v>123</v>
      </c>
      <c r="F134" s="29" t="s">
        <v>641</v>
      </c>
      <c r="G134" s="87" t="s">
        <v>642</v>
      </c>
      <c r="H134" s="40" t="s">
        <v>643</v>
      </c>
      <c r="I134" s="32">
        <f>[1]Итог!D73</f>
        <v>9.3640000000000008</v>
      </c>
      <c r="J134" s="33">
        <f>[1]Ведомость!D80</f>
        <v>10470</v>
      </c>
      <c r="K134" s="34">
        <f t="shared" si="2"/>
        <v>119610.1176</v>
      </c>
      <c r="M134" s="10"/>
      <c r="O134" s="10">
        <v>4.0739999999999998</v>
      </c>
      <c r="P134" s="16"/>
      <c r="Q134" s="17"/>
      <c r="R134" s="17"/>
    </row>
    <row r="135" spans="1:19">
      <c r="A135" s="1" t="s">
        <v>22</v>
      </c>
      <c r="B135" s="97" t="s">
        <v>644</v>
      </c>
      <c r="C135" s="98" t="s">
        <v>645</v>
      </c>
      <c r="D135" s="98" t="s">
        <v>646</v>
      </c>
      <c r="E135" s="44">
        <f t="shared" si="0"/>
        <v>124</v>
      </c>
      <c r="F135" s="29" t="s">
        <v>647</v>
      </c>
      <c r="G135" s="87">
        <v>5407239970</v>
      </c>
      <c r="H135" s="40" t="s">
        <v>648</v>
      </c>
      <c r="I135" s="32">
        <f>[1]Итог!D136</f>
        <v>0.76</v>
      </c>
      <c r="J135" s="33">
        <f>[1]Ведомость!D145</f>
        <v>10470</v>
      </c>
      <c r="K135" s="34">
        <f t="shared" si="2"/>
        <v>9707.7839999999997</v>
      </c>
      <c r="M135" s="10"/>
      <c r="O135" s="10">
        <v>12.42</v>
      </c>
      <c r="P135" s="16"/>
      <c r="Q135" s="17"/>
      <c r="R135" s="17"/>
      <c r="S135" s="5"/>
    </row>
    <row r="136" spans="1:19">
      <c r="A136" s="1" t="s">
        <v>22</v>
      </c>
      <c r="B136" s="27" t="s">
        <v>649</v>
      </c>
      <c r="C136" s="27" t="s">
        <v>650</v>
      </c>
      <c r="D136" s="27"/>
      <c r="E136" s="44">
        <f t="shared" si="0"/>
        <v>125</v>
      </c>
      <c r="F136" s="45" t="s">
        <v>651</v>
      </c>
      <c r="G136" s="30" t="s">
        <v>652</v>
      </c>
      <c r="H136" s="31" t="s">
        <v>653</v>
      </c>
      <c r="I136" s="32">
        <f>[1]Итог!D135</f>
        <v>2.92</v>
      </c>
      <c r="J136" s="33">
        <f>[1]Ведомость!D144</f>
        <v>10470</v>
      </c>
      <c r="K136" s="34">
        <f t="shared" si="2"/>
        <v>37298.327999999994</v>
      </c>
      <c r="M136" s="10"/>
      <c r="O136" s="10">
        <v>1.24</v>
      </c>
      <c r="P136" s="16"/>
      <c r="Q136" s="17"/>
      <c r="R136" s="17"/>
      <c r="S136" s="5"/>
    </row>
    <row r="137" spans="1:19">
      <c r="A137" s="79" t="s">
        <v>22</v>
      </c>
      <c r="B137" s="27" t="s">
        <v>654</v>
      </c>
      <c r="C137" s="27" t="s">
        <v>655</v>
      </c>
      <c r="D137" s="27"/>
      <c r="E137" s="44">
        <f t="shared" si="0"/>
        <v>126</v>
      </c>
      <c r="F137" s="45" t="s">
        <v>656</v>
      </c>
      <c r="G137" s="30" t="s">
        <v>657</v>
      </c>
      <c r="H137" s="31" t="s">
        <v>658</v>
      </c>
      <c r="I137" s="32">
        <f>[1]Итог!D166</f>
        <v>0.374</v>
      </c>
      <c r="J137" s="33">
        <f>[1]Ведомость!D176</f>
        <v>10470</v>
      </c>
      <c r="K137" s="34">
        <f t="shared" si="2"/>
        <v>4777.2516000000005</v>
      </c>
      <c r="M137" s="10"/>
      <c r="O137" s="10">
        <v>3.95</v>
      </c>
      <c r="P137" s="16"/>
      <c r="Q137" s="17"/>
      <c r="R137" s="17"/>
    </row>
    <row r="138" spans="1:19">
      <c r="A138" s="1" t="s">
        <v>22</v>
      </c>
      <c r="B138" s="27" t="s">
        <v>659</v>
      </c>
      <c r="C138" s="27"/>
      <c r="D138" s="27" t="s">
        <v>660</v>
      </c>
      <c r="E138" s="44">
        <f t="shared" si="0"/>
        <v>127</v>
      </c>
      <c r="F138" s="45" t="s">
        <v>661</v>
      </c>
      <c r="G138" s="30">
        <v>7805062612</v>
      </c>
      <c r="H138" s="31" t="s">
        <v>662</v>
      </c>
      <c r="I138" s="32">
        <f>[1]Итог!D122</f>
        <v>0.86399999999999999</v>
      </c>
      <c r="J138" s="33">
        <f>[1]Ведомость!D131</f>
        <v>10470</v>
      </c>
      <c r="K138" s="34">
        <f t="shared" si="2"/>
        <v>11036.2176</v>
      </c>
      <c r="M138" s="10"/>
      <c r="O138" s="10">
        <v>1.375</v>
      </c>
      <c r="P138" s="16"/>
      <c r="Q138" s="17"/>
      <c r="R138" s="17"/>
    </row>
    <row r="139" spans="1:19">
      <c r="A139" s="1" t="s">
        <v>22</v>
      </c>
      <c r="B139" s="27" t="s">
        <v>663</v>
      </c>
      <c r="C139" s="27" t="s">
        <v>664</v>
      </c>
      <c r="D139" s="27" t="s">
        <v>665</v>
      </c>
      <c r="E139" s="44">
        <f t="shared" si="0"/>
        <v>128</v>
      </c>
      <c r="F139" s="45" t="s">
        <v>666</v>
      </c>
      <c r="G139" s="30" t="s">
        <v>667</v>
      </c>
      <c r="H139" s="31" t="s">
        <v>668</v>
      </c>
      <c r="I139" s="32">
        <f>[1]Итог!D74</f>
        <v>18.175999999999998</v>
      </c>
      <c r="J139" s="33">
        <f>[1]Ведомость!D81</f>
        <v>10470</v>
      </c>
      <c r="K139" s="34">
        <f t="shared" si="2"/>
        <v>232169.31839999996</v>
      </c>
      <c r="M139" s="10"/>
      <c r="O139" s="10">
        <v>0.97499999999999998</v>
      </c>
      <c r="P139" s="16"/>
      <c r="Q139" s="7"/>
      <c r="R139" s="17"/>
    </row>
    <row r="140" spans="1:19">
      <c r="B140" s="27" t="s">
        <v>669</v>
      </c>
      <c r="C140" s="46" t="s">
        <v>670</v>
      </c>
      <c r="D140" s="27"/>
      <c r="E140" s="44">
        <f t="shared" si="0"/>
        <v>129</v>
      </c>
      <c r="F140" s="45" t="s">
        <v>671</v>
      </c>
      <c r="G140" s="30" t="s">
        <v>672</v>
      </c>
      <c r="H140" s="31" t="s">
        <v>673</v>
      </c>
      <c r="I140" s="32">
        <f>[1]Итог!D81</f>
        <v>0.55100000000000005</v>
      </c>
      <c r="J140" s="33">
        <f>[1]Ведомость!D88</f>
        <v>10470</v>
      </c>
      <c r="K140" s="34">
        <f t="shared" ref="K140:K203" si="3">I140*J140*1.22</f>
        <v>7038.1433999999999</v>
      </c>
      <c r="L140" s="6"/>
      <c r="M140" s="10"/>
      <c r="O140" s="10">
        <v>16.86</v>
      </c>
      <c r="P140" s="16"/>
      <c r="Q140" s="7"/>
      <c r="R140" s="17"/>
      <c r="S140" s="5"/>
    </row>
    <row r="141" spans="1:19">
      <c r="A141" s="1" t="s">
        <v>22</v>
      </c>
      <c r="B141" s="27" t="s">
        <v>674</v>
      </c>
      <c r="C141" s="27"/>
      <c r="D141" s="27" t="s">
        <v>675</v>
      </c>
      <c r="E141" s="44">
        <f t="shared" si="0"/>
        <v>130</v>
      </c>
      <c r="F141" s="45" t="s">
        <v>676</v>
      </c>
      <c r="G141" s="30">
        <v>7805811438</v>
      </c>
      <c r="H141" s="31" t="s">
        <v>677</v>
      </c>
      <c r="I141" s="32">
        <f>[1]Итог!D162</f>
        <v>0</v>
      </c>
      <c r="J141" s="33">
        <f>[1]Ведомость!D172</f>
        <v>10470</v>
      </c>
      <c r="K141" s="34">
        <f t="shared" si="3"/>
        <v>0</v>
      </c>
      <c r="L141" s="6"/>
      <c r="M141" s="10"/>
      <c r="O141" s="10">
        <v>11.286</v>
      </c>
      <c r="P141" s="16"/>
      <c r="Q141" s="7"/>
      <c r="R141" s="17"/>
      <c r="S141" s="5"/>
    </row>
    <row r="142" spans="1:19">
      <c r="B142" s="38" t="s">
        <v>678</v>
      </c>
      <c r="C142" s="27" t="s">
        <v>679</v>
      </c>
      <c r="D142" s="27" t="s">
        <v>680</v>
      </c>
      <c r="E142" s="44">
        <f t="shared" si="0"/>
        <v>131</v>
      </c>
      <c r="F142" s="45" t="s">
        <v>681</v>
      </c>
      <c r="G142" s="30" t="s">
        <v>682</v>
      </c>
      <c r="H142" s="31" t="s">
        <v>683</v>
      </c>
      <c r="I142" s="32">
        <f>[1]Итог!D92</f>
        <v>2.1110000000000002</v>
      </c>
      <c r="J142" s="33">
        <f>[1]Ведомость!D99</f>
        <v>10470</v>
      </c>
      <c r="K142" s="34">
        <f t="shared" si="3"/>
        <v>26964.647400000002</v>
      </c>
      <c r="L142" s="6"/>
      <c r="M142" s="10"/>
      <c r="O142" s="10">
        <v>78.935000000000002</v>
      </c>
      <c r="P142" s="16"/>
      <c r="Q142" s="5"/>
      <c r="R142" s="17"/>
    </row>
    <row r="143" spans="1:19">
      <c r="B143" s="27" t="s">
        <v>684</v>
      </c>
      <c r="C143" s="99" t="s">
        <v>685</v>
      </c>
      <c r="D143" s="27"/>
      <c r="E143" s="44">
        <f t="shared" si="0"/>
        <v>132</v>
      </c>
      <c r="F143" s="45" t="s">
        <v>686</v>
      </c>
      <c r="G143" s="53" t="s">
        <v>687</v>
      </c>
      <c r="H143" s="31" t="s">
        <v>688</v>
      </c>
      <c r="I143" s="32">
        <f>[1]Итог!D148</f>
        <v>0.64300000000000002</v>
      </c>
      <c r="J143" s="33">
        <f>[1]Ведомость!D158</f>
        <v>10470</v>
      </c>
      <c r="K143" s="34">
        <f t="shared" si="3"/>
        <v>8213.2962000000007</v>
      </c>
      <c r="L143" s="6"/>
      <c r="M143" s="10"/>
      <c r="O143" s="10">
        <v>14.275</v>
      </c>
      <c r="P143" s="37"/>
      <c r="Q143" s="5"/>
      <c r="R143" s="17"/>
      <c r="S143" s="5"/>
    </row>
    <row r="144" spans="1:19" ht="15">
      <c r="A144" s="1" t="s">
        <v>22</v>
      </c>
      <c r="B144" s="27" t="s">
        <v>689</v>
      </c>
      <c r="C144" s="100" t="s">
        <v>690</v>
      </c>
      <c r="D144" s="27"/>
      <c r="E144" s="44">
        <f t="shared" si="0"/>
        <v>133</v>
      </c>
      <c r="F144" s="45" t="s">
        <v>691</v>
      </c>
      <c r="G144" s="30" t="s">
        <v>692</v>
      </c>
      <c r="H144" s="31" t="s">
        <v>693</v>
      </c>
      <c r="I144" s="32">
        <f>[1]Итог!D170</f>
        <v>0.29399999999999998</v>
      </c>
      <c r="J144" s="33">
        <f>[1]Ведомость!D180</f>
        <v>10470</v>
      </c>
      <c r="K144" s="34">
        <f t="shared" si="3"/>
        <v>3755.3795999999998</v>
      </c>
      <c r="L144" s="101" t="s">
        <v>694</v>
      </c>
      <c r="M144" s="10"/>
      <c r="N144" s="102"/>
      <c r="O144" s="10">
        <v>2.2029999999999998</v>
      </c>
      <c r="Q144" s="5"/>
      <c r="R144" s="17"/>
    </row>
    <row r="145" spans="1:19">
      <c r="B145" s="27" t="s">
        <v>695</v>
      </c>
      <c r="C145" s="27" t="s">
        <v>696</v>
      </c>
      <c r="D145" s="27"/>
      <c r="E145" s="44">
        <f t="shared" si="0"/>
        <v>134</v>
      </c>
      <c r="F145" s="45" t="s">
        <v>697</v>
      </c>
      <c r="G145" s="30" t="s">
        <v>698</v>
      </c>
      <c r="H145" s="31" t="s">
        <v>699</v>
      </c>
      <c r="I145" s="32">
        <f>[1]Итог!D137</f>
        <v>7.9569999999999999</v>
      </c>
      <c r="J145" s="33">
        <f>[1]Ведомость!D146</f>
        <v>10470</v>
      </c>
      <c r="K145" s="34">
        <f t="shared" si="3"/>
        <v>101637.94379999999</v>
      </c>
      <c r="L145" s="6"/>
      <c r="M145" s="10"/>
      <c r="N145" s="6"/>
      <c r="O145" s="10">
        <v>0.55100000000000005</v>
      </c>
      <c r="R145" s="17"/>
      <c r="S145" s="5"/>
    </row>
    <row r="146" spans="1:19">
      <c r="A146" s="79" t="s">
        <v>22</v>
      </c>
      <c r="B146" s="27" t="s">
        <v>23</v>
      </c>
      <c r="C146" s="27" t="s">
        <v>24</v>
      </c>
      <c r="D146" s="27"/>
      <c r="E146" s="44">
        <f t="shared" si="0"/>
        <v>135</v>
      </c>
      <c r="F146" s="45" t="s">
        <v>700</v>
      </c>
      <c r="G146" s="30" t="s">
        <v>701</v>
      </c>
      <c r="H146" s="31" t="s">
        <v>702</v>
      </c>
      <c r="I146" s="32">
        <f>[1]Итог!D108</f>
        <v>1.375</v>
      </c>
      <c r="J146" s="33">
        <f>[1]Ведомость!D116</f>
        <v>10470</v>
      </c>
      <c r="K146" s="34">
        <f t="shared" si="3"/>
        <v>17563.424999999999</v>
      </c>
      <c r="L146" s="6"/>
      <c r="M146" s="10"/>
      <c r="O146" s="10">
        <v>0.60599999999999998</v>
      </c>
      <c r="R146" s="17"/>
      <c r="S146" s="5"/>
    </row>
    <row r="147" spans="1:19">
      <c r="A147" s="1" t="s">
        <v>22</v>
      </c>
      <c r="B147" s="93" t="s">
        <v>703</v>
      </c>
      <c r="C147" s="27" t="s">
        <v>704</v>
      </c>
      <c r="D147" s="27" t="s">
        <v>705</v>
      </c>
      <c r="E147" s="44">
        <f t="shared" si="0"/>
        <v>136</v>
      </c>
      <c r="F147" s="45" t="s">
        <v>706</v>
      </c>
      <c r="G147" s="30" t="s">
        <v>707</v>
      </c>
      <c r="H147" s="31" t="s">
        <v>708</v>
      </c>
      <c r="I147" s="32">
        <f>[1]Итог!D61</f>
        <v>0.67400000000000004</v>
      </c>
      <c r="J147" s="33">
        <f>[1]Ведомость!D69</f>
        <v>10470</v>
      </c>
      <c r="K147" s="34">
        <f t="shared" si="3"/>
        <v>8609.2716</v>
      </c>
      <c r="L147" s="6"/>
      <c r="M147" s="10"/>
      <c r="O147" s="10">
        <v>0.27</v>
      </c>
      <c r="R147" s="17"/>
      <c r="S147" s="5"/>
    </row>
    <row r="148" spans="1:19" ht="22.5">
      <c r="B148" s="103" t="s">
        <v>709</v>
      </c>
      <c r="C148" s="66" t="s">
        <v>710</v>
      </c>
      <c r="D148" s="27" t="s">
        <v>711</v>
      </c>
      <c r="E148" s="44">
        <f t="shared" si="0"/>
        <v>137</v>
      </c>
      <c r="F148" s="67" t="s">
        <v>712</v>
      </c>
      <c r="G148" s="68" t="s">
        <v>713</v>
      </c>
      <c r="H148" s="104" t="s">
        <v>714</v>
      </c>
      <c r="I148" s="105">
        <f>[1]Итог!D183</f>
        <v>17.367000000000001</v>
      </c>
      <c r="J148" s="106">
        <f>[1]Ведомость!D195</f>
        <v>10534.929999999998</v>
      </c>
      <c r="K148" s="34">
        <f t="shared" si="3"/>
        <v>223211.35775819997</v>
      </c>
      <c r="L148" s="6"/>
      <c r="M148" s="10"/>
      <c r="O148" s="10">
        <v>1.5089999999999999</v>
      </c>
      <c r="R148" s="17"/>
      <c r="S148" s="5"/>
    </row>
    <row r="149" spans="1:19">
      <c r="B149" s="27" t="s">
        <v>715</v>
      </c>
      <c r="C149" s="27" t="s">
        <v>716</v>
      </c>
      <c r="D149" s="27"/>
      <c r="E149" s="44">
        <f t="shared" si="0"/>
        <v>138</v>
      </c>
      <c r="F149" s="45" t="s">
        <v>717</v>
      </c>
      <c r="G149" s="30">
        <v>7826133631</v>
      </c>
      <c r="H149" s="107" t="s">
        <v>718</v>
      </c>
      <c r="I149" s="108">
        <f>[1]Итог!D198</f>
        <v>13.74</v>
      </c>
      <c r="J149" s="33">
        <f>[1]Ведомость!D176</f>
        <v>10470</v>
      </c>
      <c r="K149" s="34">
        <f t="shared" si="3"/>
        <v>175506.51599999997</v>
      </c>
      <c r="L149" s="6"/>
      <c r="M149" s="10"/>
      <c r="N149" s="109"/>
      <c r="O149" s="10">
        <v>2.4470000000000001</v>
      </c>
      <c r="R149" s="17"/>
    </row>
    <row r="150" spans="1:19">
      <c r="B150" s="27" t="s">
        <v>719</v>
      </c>
      <c r="C150" s="27" t="s">
        <v>720</v>
      </c>
      <c r="D150" s="27"/>
      <c r="E150" s="44">
        <f t="shared" si="0"/>
        <v>139</v>
      </c>
      <c r="F150" s="110" t="s">
        <v>721</v>
      </c>
      <c r="G150" s="76">
        <v>7805697034</v>
      </c>
      <c r="H150" s="111" t="s">
        <v>722</v>
      </c>
      <c r="I150" s="112">
        <f>[1]Итог!D201</f>
        <v>1.7070000000000001</v>
      </c>
      <c r="J150" s="113">
        <f>[1]Ведомость!D223</f>
        <v>10470</v>
      </c>
      <c r="K150" s="34">
        <f t="shared" si="3"/>
        <v>21804.193800000001</v>
      </c>
      <c r="L150" s="6"/>
      <c r="M150" s="10"/>
      <c r="N150" s="109"/>
      <c r="O150" s="10">
        <v>18.760000000000002</v>
      </c>
      <c r="R150" s="17"/>
      <c r="S150" s="5"/>
    </row>
    <row r="151" spans="1:19">
      <c r="A151" s="79"/>
      <c r="B151" s="27" t="s">
        <v>723</v>
      </c>
      <c r="C151" s="78">
        <v>89219101010</v>
      </c>
      <c r="D151" s="27"/>
      <c r="E151" s="44">
        <f t="shared" si="0"/>
        <v>140</v>
      </c>
      <c r="F151" s="45" t="s">
        <v>724</v>
      </c>
      <c r="G151" s="76">
        <v>7810720472</v>
      </c>
      <c r="H151" s="111" t="s">
        <v>725</v>
      </c>
      <c r="I151" s="112">
        <f>[1]Итог!D202</f>
        <v>4.5720000000000001</v>
      </c>
      <c r="J151" s="33">
        <f>[1]Ведомость!D223</f>
        <v>10470</v>
      </c>
      <c r="K151" s="34">
        <f t="shared" si="3"/>
        <v>58399.984800000006</v>
      </c>
      <c r="L151" s="6"/>
      <c r="M151" s="10"/>
      <c r="N151" s="109"/>
      <c r="O151" s="10">
        <v>8.7379999999999995</v>
      </c>
      <c r="R151" s="17"/>
    </row>
    <row r="152" spans="1:19" ht="12.75" customHeight="1">
      <c r="A152" s="79"/>
      <c r="B152" s="27" t="s">
        <v>726</v>
      </c>
      <c r="C152" s="27" t="s">
        <v>727</v>
      </c>
      <c r="D152" s="27"/>
      <c r="E152" s="44">
        <f t="shared" si="0"/>
        <v>141</v>
      </c>
      <c r="F152" s="110" t="s">
        <v>728</v>
      </c>
      <c r="G152" s="76">
        <v>7716846333</v>
      </c>
      <c r="H152" s="111" t="s">
        <v>729</v>
      </c>
      <c r="I152" s="112">
        <f>[1]Итог!D204</f>
        <v>1.417</v>
      </c>
      <c r="J152" s="33">
        <f>[1]Ведомость!D223</f>
        <v>10470</v>
      </c>
      <c r="K152" s="34">
        <f t="shared" si="3"/>
        <v>18099.907800000001</v>
      </c>
      <c r="L152" s="114"/>
      <c r="M152" s="10"/>
      <c r="N152" s="109"/>
      <c r="O152" s="10">
        <v>16.635000000000002</v>
      </c>
      <c r="R152" s="17"/>
    </row>
    <row r="153" spans="1:19">
      <c r="A153" s="79"/>
      <c r="B153" s="27" t="s">
        <v>730</v>
      </c>
      <c r="C153" s="27" t="s">
        <v>731</v>
      </c>
      <c r="D153" s="27"/>
      <c r="E153" s="115">
        <f t="shared" si="0"/>
        <v>142</v>
      </c>
      <c r="F153" s="110" t="s">
        <v>732</v>
      </c>
      <c r="G153" s="76">
        <v>6147019890</v>
      </c>
      <c r="H153" s="111" t="s">
        <v>733</v>
      </c>
      <c r="I153" s="112">
        <f>[1]Итог!D205</f>
        <v>3.2839999999999998</v>
      </c>
      <c r="J153" s="33">
        <f>[1]Ведомость!D132</f>
        <v>10470</v>
      </c>
      <c r="K153" s="34">
        <f t="shared" si="3"/>
        <v>41947.845599999993</v>
      </c>
      <c r="L153" s="114"/>
      <c r="M153" s="10"/>
      <c r="N153" s="109"/>
      <c r="O153" s="10">
        <v>0.314</v>
      </c>
      <c r="R153" s="17"/>
    </row>
    <row r="154" spans="1:19">
      <c r="A154" s="1" t="s">
        <v>22</v>
      </c>
      <c r="B154" s="27" t="s">
        <v>734</v>
      </c>
      <c r="C154" s="27" t="s">
        <v>735</v>
      </c>
      <c r="D154" s="27" t="s">
        <v>736</v>
      </c>
      <c r="E154" s="44">
        <f t="shared" si="0"/>
        <v>143</v>
      </c>
      <c r="F154" s="29" t="s">
        <v>737</v>
      </c>
      <c r="G154" s="53" t="s">
        <v>738</v>
      </c>
      <c r="H154" s="40" t="s">
        <v>739</v>
      </c>
      <c r="I154" s="32">
        <f>[1]Итог!D70</f>
        <v>0.17</v>
      </c>
      <c r="J154" s="33">
        <f>[1]Ведомость!D77</f>
        <v>10470</v>
      </c>
      <c r="K154" s="34">
        <f t="shared" si="3"/>
        <v>2171.4780000000001</v>
      </c>
      <c r="L154" s="101"/>
      <c r="M154" s="10"/>
      <c r="N154" s="116"/>
      <c r="O154" s="10">
        <v>0.65700000000000003</v>
      </c>
      <c r="P154" s="35"/>
      <c r="R154" s="17"/>
    </row>
    <row r="155" spans="1:19">
      <c r="A155" s="1" t="s">
        <v>22</v>
      </c>
      <c r="B155" s="38" t="s">
        <v>740</v>
      </c>
      <c r="C155" s="27" t="s">
        <v>741</v>
      </c>
      <c r="D155" s="27"/>
      <c r="E155" s="44">
        <f t="shared" si="0"/>
        <v>144</v>
      </c>
      <c r="F155" s="45" t="s">
        <v>742</v>
      </c>
      <c r="G155" s="53" t="s">
        <v>743</v>
      </c>
      <c r="H155" s="40" t="s">
        <v>744</v>
      </c>
      <c r="I155" s="32">
        <f>[1]Итог!D38</f>
        <v>2.9670000000000001</v>
      </c>
      <c r="J155" s="33">
        <f>[1]Ведомость!D45</f>
        <v>10470</v>
      </c>
      <c r="K155" s="34">
        <f t="shared" si="3"/>
        <v>37898.677799999998</v>
      </c>
      <c r="L155" s="6"/>
      <c r="M155" s="10"/>
      <c r="N155" s="116"/>
      <c r="O155" s="10">
        <v>108.517</v>
      </c>
      <c r="P155" s="35"/>
      <c r="R155" s="17"/>
    </row>
    <row r="156" spans="1:19">
      <c r="B156" s="27" t="s">
        <v>745</v>
      </c>
      <c r="C156" s="27" t="s">
        <v>746</v>
      </c>
      <c r="D156" s="27" t="s">
        <v>747</v>
      </c>
      <c r="E156" s="44">
        <f t="shared" si="0"/>
        <v>145</v>
      </c>
      <c r="F156" s="45" t="s">
        <v>748</v>
      </c>
      <c r="G156" s="53" t="s">
        <v>749</v>
      </c>
      <c r="H156" s="31" t="s">
        <v>750</v>
      </c>
      <c r="I156" s="32">
        <f>[1]Итог!D30</f>
        <v>2.2229999999999999</v>
      </c>
      <c r="J156" s="33">
        <f>[1]Ведомость!D57</f>
        <v>10470</v>
      </c>
      <c r="K156" s="34">
        <f t="shared" si="3"/>
        <v>28395.268199999995</v>
      </c>
      <c r="L156" s="6"/>
      <c r="M156" s="10"/>
      <c r="N156" s="116"/>
      <c r="O156" s="10">
        <v>1.2929999999999999</v>
      </c>
      <c r="P156" s="35"/>
      <c r="R156" s="17"/>
      <c r="S156" s="5"/>
    </row>
    <row r="157" spans="1:19">
      <c r="A157" s="1" t="s">
        <v>22</v>
      </c>
      <c r="B157" s="27" t="s">
        <v>751</v>
      </c>
      <c r="C157" s="78" t="s">
        <v>752</v>
      </c>
      <c r="D157" s="27"/>
      <c r="E157" s="44">
        <f t="shared" si="0"/>
        <v>146</v>
      </c>
      <c r="F157" s="45" t="s">
        <v>753</v>
      </c>
      <c r="G157" s="53" t="s">
        <v>754</v>
      </c>
      <c r="H157" s="31" t="s">
        <v>755</v>
      </c>
      <c r="I157" s="32">
        <f>[1]Итог!D159</f>
        <v>0</v>
      </c>
      <c r="J157" s="33">
        <f>[1]Ведомость!D169</f>
        <v>10470</v>
      </c>
      <c r="K157" s="34">
        <f t="shared" si="3"/>
        <v>0</v>
      </c>
      <c r="L157" s="6"/>
      <c r="M157" s="10"/>
      <c r="N157" s="116"/>
      <c r="O157" s="10">
        <v>0.04</v>
      </c>
      <c r="P157" s="35"/>
      <c r="R157" s="17"/>
    </row>
    <row r="158" spans="1:19">
      <c r="B158" s="27" t="s">
        <v>756</v>
      </c>
      <c r="C158" s="27" t="s">
        <v>757</v>
      </c>
      <c r="D158" s="27"/>
      <c r="E158" s="44">
        <f t="shared" si="0"/>
        <v>147</v>
      </c>
      <c r="F158" s="45" t="s">
        <v>758</v>
      </c>
      <c r="G158" s="53" t="s">
        <v>759</v>
      </c>
      <c r="H158" s="31" t="s">
        <v>760</v>
      </c>
      <c r="I158" s="32">
        <f>[1]Итог!D188</f>
        <v>2.9089999999999998</v>
      </c>
      <c r="J158" s="33">
        <f>[1]Ведомость!D201</f>
        <v>10470</v>
      </c>
      <c r="K158" s="34">
        <f t="shared" si="3"/>
        <v>37157.820599999999</v>
      </c>
      <c r="L158" s="6"/>
      <c r="M158" s="10"/>
      <c r="N158" s="109"/>
      <c r="O158" s="10">
        <v>1.24</v>
      </c>
      <c r="P158" s="35"/>
      <c r="R158" s="17"/>
      <c r="S158" s="5"/>
    </row>
    <row r="159" spans="1:19" ht="15" customHeight="1">
      <c r="A159" s="1" t="s">
        <v>22</v>
      </c>
      <c r="B159" s="38" t="s">
        <v>761</v>
      </c>
      <c r="C159" s="72" t="s">
        <v>762</v>
      </c>
      <c r="D159" s="27"/>
      <c r="E159" s="44">
        <f t="shared" si="0"/>
        <v>148</v>
      </c>
      <c r="F159" s="45" t="s">
        <v>763</v>
      </c>
      <c r="G159" s="53" t="s">
        <v>764</v>
      </c>
      <c r="H159" s="49" t="s">
        <v>765</v>
      </c>
      <c r="I159" s="50">
        <f>[1]Итог!D84</f>
        <v>11.85</v>
      </c>
      <c r="J159" s="41">
        <f>[1]Ведомость!D91</f>
        <v>8940</v>
      </c>
      <c r="K159" s="34">
        <f t="shared" si="3"/>
        <v>129245.58</v>
      </c>
      <c r="L159" s="6"/>
      <c r="M159" s="10"/>
      <c r="N159" s="109"/>
      <c r="O159" s="10">
        <v>9.3640000000000008</v>
      </c>
      <c r="R159" s="17"/>
      <c r="S159" s="5"/>
    </row>
    <row r="160" spans="1:19">
      <c r="A160" s="1" t="s">
        <v>22</v>
      </c>
      <c r="B160" s="93" t="s">
        <v>766</v>
      </c>
      <c r="C160" s="27" t="s">
        <v>767</v>
      </c>
      <c r="D160" s="27" t="s">
        <v>768</v>
      </c>
      <c r="E160" s="44">
        <f t="shared" si="0"/>
        <v>149</v>
      </c>
      <c r="F160" s="45" t="s">
        <v>769</v>
      </c>
      <c r="G160" s="30">
        <v>7713076301</v>
      </c>
      <c r="H160" s="31" t="s">
        <v>770</v>
      </c>
      <c r="I160" s="32">
        <f>[1]Итог!D60</f>
        <v>4.202</v>
      </c>
      <c r="J160" s="33">
        <f>[1]Ведомость!D68</f>
        <v>10470</v>
      </c>
      <c r="K160" s="34">
        <f t="shared" si="3"/>
        <v>53673.826800000003</v>
      </c>
      <c r="L160" s="6"/>
      <c r="M160" s="10"/>
      <c r="N160" s="109"/>
      <c r="O160" s="10">
        <v>2.6019999999999999</v>
      </c>
      <c r="R160" s="17"/>
      <c r="S160" s="5"/>
    </row>
    <row r="161" spans="1:19">
      <c r="A161" s="1" t="s">
        <v>22</v>
      </c>
      <c r="B161" s="27" t="s">
        <v>771</v>
      </c>
      <c r="C161" s="27"/>
      <c r="D161" s="27"/>
      <c r="E161" s="44">
        <f t="shared" si="0"/>
        <v>150</v>
      </c>
      <c r="F161" s="45" t="s">
        <v>772</v>
      </c>
      <c r="G161" s="30" t="s">
        <v>773</v>
      </c>
      <c r="H161" s="31" t="s">
        <v>774</v>
      </c>
      <c r="I161" s="32">
        <f>[1]Итог!D87</f>
        <v>2.665</v>
      </c>
      <c r="J161" s="33">
        <f>[1]Ведомость!D94</f>
        <v>10470</v>
      </c>
      <c r="K161" s="34">
        <f t="shared" si="3"/>
        <v>34041.110999999997</v>
      </c>
      <c r="L161" s="6"/>
      <c r="M161" s="10"/>
      <c r="N161" s="109"/>
      <c r="O161" s="10">
        <v>28.695</v>
      </c>
      <c r="R161" s="17"/>
      <c r="S161" s="5"/>
    </row>
    <row r="162" spans="1:19">
      <c r="A162" s="1" t="s">
        <v>22</v>
      </c>
      <c r="B162" s="27" t="s">
        <v>775</v>
      </c>
      <c r="C162" s="27" t="s">
        <v>776</v>
      </c>
      <c r="D162" s="27"/>
      <c r="E162" s="44">
        <f t="shared" si="0"/>
        <v>151</v>
      </c>
      <c r="F162" s="45" t="s">
        <v>777</v>
      </c>
      <c r="G162" s="30" t="s">
        <v>778</v>
      </c>
      <c r="H162" s="31" t="s">
        <v>779</v>
      </c>
      <c r="I162" s="32">
        <f>[1]Итог!D100</f>
        <v>2E-3</v>
      </c>
      <c r="J162" s="33">
        <f>[1]Ведомость!D107</f>
        <v>10470</v>
      </c>
      <c r="K162" s="34">
        <f t="shared" si="3"/>
        <v>25.546800000000001</v>
      </c>
      <c r="L162" s="6"/>
      <c r="M162" s="10"/>
      <c r="N162" s="109"/>
      <c r="O162" s="10">
        <v>0.17</v>
      </c>
      <c r="R162" s="17"/>
    </row>
    <row r="163" spans="1:19">
      <c r="A163" s="79" t="s">
        <v>22</v>
      </c>
      <c r="B163" s="27" t="s">
        <v>780</v>
      </c>
      <c r="C163" s="27" t="s">
        <v>781</v>
      </c>
      <c r="D163" s="27"/>
      <c r="E163" s="44">
        <f t="shared" si="0"/>
        <v>152</v>
      </c>
      <c r="F163" s="45" t="s">
        <v>782</v>
      </c>
      <c r="G163" s="30" t="s">
        <v>783</v>
      </c>
      <c r="H163" s="31" t="s">
        <v>784</v>
      </c>
      <c r="I163" s="32">
        <f>[1]Итог!D161</f>
        <v>18.760000000000002</v>
      </c>
      <c r="J163" s="33">
        <f>[1]Ведомость!D171</f>
        <v>10470</v>
      </c>
      <c r="K163" s="34">
        <f t="shared" si="3"/>
        <v>239628.984</v>
      </c>
      <c r="L163" s="6"/>
      <c r="M163" s="10"/>
      <c r="N163" s="109"/>
      <c r="O163" s="10">
        <v>0.28999999999999998</v>
      </c>
      <c r="R163" s="17"/>
      <c r="S163" s="5"/>
    </row>
    <row r="164" spans="1:19" ht="13.5" customHeight="1">
      <c r="A164" s="1" t="s">
        <v>22</v>
      </c>
      <c r="B164" s="27" t="s">
        <v>785</v>
      </c>
      <c r="C164" s="72" t="s">
        <v>786</v>
      </c>
      <c r="D164" s="27"/>
      <c r="E164" s="44">
        <f t="shared" si="0"/>
        <v>153</v>
      </c>
      <c r="F164" s="45" t="s">
        <v>787</v>
      </c>
      <c r="G164" s="30" t="s">
        <v>788</v>
      </c>
      <c r="H164" s="31" t="s">
        <v>789</v>
      </c>
      <c r="I164" s="32">
        <f>[1]Итог!D116</f>
        <v>0.40500000000000003</v>
      </c>
      <c r="J164" s="33">
        <f>[1]Ведомость!D125</f>
        <v>10470</v>
      </c>
      <c r="K164" s="34">
        <f t="shared" si="3"/>
        <v>5173.2270000000008</v>
      </c>
      <c r="L164" s="6"/>
      <c r="M164" s="10"/>
      <c r="N164" s="109"/>
      <c r="O164" s="10">
        <v>0.29899999999999999</v>
      </c>
      <c r="R164" s="17"/>
      <c r="S164" s="5"/>
    </row>
    <row r="165" spans="1:19">
      <c r="B165" s="27" t="s">
        <v>790</v>
      </c>
      <c r="C165" s="27" t="s">
        <v>791</v>
      </c>
      <c r="D165" s="27" t="s">
        <v>792</v>
      </c>
      <c r="E165" s="44">
        <f t="shared" si="0"/>
        <v>154</v>
      </c>
      <c r="F165" s="45" t="s">
        <v>793</v>
      </c>
      <c r="G165" s="30" t="s">
        <v>794</v>
      </c>
      <c r="H165" s="31" t="s">
        <v>795</v>
      </c>
      <c r="I165" s="32">
        <f>[1]Итог!D85</f>
        <v>0.65700000000000003</v>
      </c>
      <c r="J165" s="33">
        <f>[1]Ведомость!D92</f>
        <v>10470</v>
      </c>
      <c r="K165" s="34">
        <f t="shared" si="3"/>
        <v>8392.1237999999994</v>
      </c>
      <c r="L165" s="6"/>
      <c r="M165" s="10"/>
      <c r="N165" s="109"/>
      <c r="O165" s="10">
        <v>9.6000000000000002E-2</v>
      </c>
      <c r="R165" s="17"/>
      <c r="S165" s="5"/>
    </row>
    <row r="166" spans="1:19">
      <c r="A166" s="1" t="s">
        <v>22</v>
      </c>
      <c r="B166" s="27" t="s">
        <v>796</v>
      </c>
      <c r="C166" s="27" t="s">
        <v>797</v>
      </c>
      <c r="D166" s="27" t="s">
        <v>798</v>
      </c>
      <c r="E166" s="44">
        <f t="shared" si="0"/>
        <v>155</v>
      </c>
      <c r="F166" s="45" t="s">
        <v>799</v>
      </c>
      <c r="G166" s="30" t="s">
        <v>800</v>
      </c>
      <c r="H166" s="31" t="s">
        <v>801</v>
      </c>
      <c r="I166" s="32">
        <f>[1]Итог!D156</f>
        <v>1.7549999999999999</v>
      </c>
      <c r="J166" s="33">
        <f>[1]Ведомость!D166</f>
        <v>10470</v>
      </c>
      <c r="K166" s="34">
        <f t="shared" si="3"/>
        <v>22417.316999999999</v>
      </c>
      <c r="L166" s="6"/>
      <c r="M166" s="10"/>
      <c r="N166" s="109"/>
      <c r="O166" s="10">
        <v>7.0000000000000007E-2</v>
      </c>
      <c r="R166" s="17"/>
      <c r="S166" s="5"/>
    </row>
    <row r="167" spans="1:19">
      <c r="B167" s="27" t="s">
        <v>802</v>
      </c>
      <c r="C167" s="46" t="s">
        <v>803</v>
      </c>
      <c r="D167" s="27"/>
      <c r="E167" s="44">
        <f t="shared" si="0"/>
        <v>156</v>
      </c>
      <c r="F167" s="45" t="s">
        <v>804</v>
      </c>
      <c r="G167" s="30" t="s">
        <v>805</v>
      </c>
      <c r="H167" s="31" t="s">
        <v>806</v>
      </c>
      <c r="I167" s="32">
        <f>[1]Итог!D59</f>
        <v>1.1599999999999999</v>
      </c>
      <c r="J167" s="33">
        <f>[1]Ведомость!D67</f>
        <v>10470</v>
      </c>
      <c r="K167" s="34">
        <f t="shared" si="3"/>
        <v>14817.143999999998</v>
      </c>
      <c r="L167" s="6"/>
      <c r="M167" s="10"/>
      <c r="N167" s="109"/>
      <c r="O167" s="10">
        <v>13.93</v>
      </c>
      <c r="R167" s="17"/>
      <c r="S167" s="5"/>
    </row>
    <row r="168" spans="1:19">
      <c r="B168" s="27" t="s">
        <v>807</v>
      </c>
      <c r="C168" s="27" t="s">
        <v>808</v>
      </c>
      <c r="D168" s="27"/>
      <c r="E168" s="44">
        <f t="shared" si="0"/>
        <v>157</v>
      </c>
      <c r="F168" s="29" t="s">
        <v>809</v>
      </c>
      <c r="G168" s="87" t="s">
        <v>810</v>
      </c>
      <c r="H168" s="40" t="s">
        <v>811</v>
      </c>
      <c r="I168" s="32">
        <f>[1]Итог!D187</f>
        <v>4.4139999999999997</v>
      </c>
      <c r="J168" s="33">
        <f>[1]Ведомость!D200</f>
        <v>10470</v>
      </c>
      <c r="K168" s="34">
        <f t="shared" si="3"/>
        <v>56381.787599999989</v>
      </c>
      <c r="L168" s="6"/>
      <c r="M168" s="10"/>
      <c r="N168" s="109"/>
      <c r="O168" s="10">
        <v>1.42</v>
      </c>
      <c r="R168" s="17"/>
      <c r="S168" s="5"/>
    </row>
    <row r="169" spans="1:19">
      <c r="B169" s="27" t="s">
        <v>807</v>
      </c>
      <c r="C169" s="27" t="s">
        <v>808</v>
      </c>
      <c r="D169" s="27"/>
      <c r="E169" s="44">
        <f t="shared" si="0"/>
        <v>158</v>
      </c>
      <c r="F169" s="29" t="s">
        <v>812</v>
      </c>
      <c r="G169" s="87" t="s">
        <v>813</v>
      </c>
      <c r="H169" s="40" t="s">
        <v>814</v>
      </c>
      <c r="I169" s="32">
        <f>[1]Итог!D186</f>
        <v>2.173</v>
      </c>
      <c r="J169" s="33">
        <f>[1]Ведомость!D199</f>
        <v>10470</v>
      </c>
      <c r="K169" s="34">
        <f t="shared" si="3"/>
        <v>27756.5982</v>
      </c>
      <c r="L169" s="6"/>
      <c r="M169" s="10"/>
      <c r="N169" s="109"/>
      <c r="O169" s="10">
        <v>0.69699999999999995</v>
      </c>
      <c r="R169" s="17"/>
      <c r="S169" s="5"/>
    </row>
    <row r="170" spans="1:19" ht="15">
      <c r="A170" s="1" t="s">
        <v>22</v>
      </c>
      <c r="B170" s="38" t="s">
        <v>815</v>
      </c>
      <c r="C170" s="117" t="s">
        <v>816</v>
      </c>
      <c r="D170" s="27" t="s">
        <v>817</v>
      </c>
      <c r="E170" s="44">
        <f t="shared" si="0"/>
        <v>159</v>
      </c>
      <c r="F170" s="29" t="s">
        <v>818</v>
      </c>
      <c r="G170" s="87" t="s">
        <v>819</v>
      </c>
      <c r="H170" s="40" t="s">
        <v>820</v>
      </c>
      <c r="I170" s="32">
        <f>[1]Итог!D104</f>
        <v>0</v>
      </c>
      <c r="J170" s="33">
        <f>[1]Ведомость!D111</f>
        <v>10470</v>
      </c>
      <c r="K170" s="34">
        <f t="shared" si="3"/>
        <v>0</v>
      </c>
      <c r="L170" s="6"/>
      <c r="M170" s="10"/>
      <c r="N170" s="109"/>
      <c r="O170" s="10">
        <v>29.718</v>
      </c>
      <c r="R170" s="17"/>
      <c r="S170" s="5"/>
    </row>
    <row r="171" spans="1:19">
      <c r="B171" s="27" t="s">
        <v>821</v>
      </c>
      <c r="C171" s="27" t="s">
        <v>822</v>
      </c>
      <c r="D171" s="27"/>
      <c r="E171" s="44">
        <f t="shared" si="0"/>
        <v>160</v>
      </c>
      <c r="F171" s="29" t="s">
        <v>823</v>
      </c>
      <c r="G171" s="87" t="s">
        <v>824</v>
      </c>
      <c r="H171" s="40" t="s">
        <v>825</v>
      </c>
      <c r="I171" s="32">
        <f>[1]Итог!D189</f>
        <v>4.6509999999999998</v>
      </c>
      <c r="J171" s="33">
        <f>[1]Ведомость!D202</f>
        <v>10470</v>
      </c>
      <c r="K171" s="34">
        <f t="shared" si="3"/>
        <v>59409.083400000003</v>
      </c>
      <c r="L171" s="6"/>
      <c r="M171" s="10"/>
      <c r="N171" s="109"/>
      <c r="O171" s="10">
        <v>2.3330000000000002</v>
      </c>
      <c r="R171" s="17"/>
      <c r="S171" s="5"/>
    </row>
    <row r="172" spans="1:19">
      <c r="A172" s="79" t="s">
        <v>22</v>
      </c>
      <c r="B172" s="27" t="s">
        <v>826</v>
      </c>
      <c r="C172" s="27" t="s">
        <v>827</v>
      </c>
      <c r="D172" s="27" t="s">
        <v>828</v>
      </c>
      <c r="E172" s="44">
        <f t="shared" si="0"/>
        <v>161</v>
      </c>
      <c r="F172" s="29" t="s">
        <v>829</v>
      </c>
      <c r="G172" s="87" t="s">
        <v>830</v>
      </c>
      <c r="H172" s="118" t="s">
        <v>831</v>
      </c>
      <c r="I172" s="108">
        <f>[1]Итог!D190</f>
        <v>0.28999999999999998</v>
      </c>
      <c r="J172" s="33">
        <f>[1]Ведомость!D203</f>
        <v>10470</v>
      </c>
      <c r="K172" s="34">
        <f t="shared" si="3"/>
        <v>3704.2859999999996</v>
      </c>
      <c r="L172" s="6"/>
      <c r="M172" s="10"/>
      <c r="N172" s="109"/>
      <c r="O172" s="10">
        <v>2.9089999999999998</v>
      </c>
      <c r="R172" s="17"/>
      <c r="S172" s="5"/>
    </row>
    <row r="173" spans="1:19">
      <c r="B173" s="27" t="s">
        <v>832</v>
      </c>
      <c r="C173" s="27" t="s">
        <v>833</v>
      </c>
      <c r="D173" s="27"/>
      <c r="E173" s="44">
        <f t="shared" si="0"/>
        <v>162</v>
      </c>
      <c r="F173" s="45" t="s">
        <v>834</v>
      </c>
      <c r="G173" s="30" t="s">
        <v>835</v>
      </c>
      <c r="H173" s="107" t="s">
        <v>836</v>
      </c>
      <c r="I173" s="108">
        <f>[1]Итог!D191</f>
        <v>0.91</v>
      </c>
      <c r="J173" s="33">
        <f>[1]Ведомость!D204</f>
        <v>10470</v>
      </c>
      <c r="K173" s="34">
        <f t="shared" si="3"/>
        <v>11623.794</v>
      </c>
      <c r="L173" s="6"/>
      <c r="M173" s="10"/>
      <c r="N173" s="109"/>
      <c r="O173" s="10">
        <v>9.3859999999999992</v>
      </c>
      <c r="R173" s="17"/>
    </row>
    <row r="174" spans="1:19" ht="14.25" customHeight="1">
      <c r="B174" s="94" t="s">
        <v>837</v>
      </c>
      <c r="C174" s="81" t="s">
        <v>838</v>
      </c>
      <c r="D174" s="95"/>
      <c r="E174" s="44">
        <f t="shared" si="0"/>
        <v>163</v>
      </c>
      <c r="F174" s="119" t="s">
        <v>839</v>
      </c>
      <c r="G174" s="120" t="s">
        <v>840</v>
      </c>
      <c r="H174" s="121" t="s">
        <v>841</v>
      </c>
      <c r="I174" s="122">
        <f>[1]Итог!D193</f>
        <v>6.3650000000000002</v>
      </c>
      <c r="J174" s="85">
        <f>[1]Ведомость!D206</f>
        <v>10470</v>
      </c>
      <c r="K174" s="34">
        <f t="shared" si="3"/>
        <v>81302.691000000006</v>
      </c>
      <c r="L174" s="6"/>
      <c r="M174" s="10"/>
      <c r="N174" s="109"/>
      <c r="O174" s="10">
        <v>6.5000000000000002E-2</v>
      </c>
      <c r="R174" s="17"/>
    </row>
    <row r="175" spans="1:19">
      <c r="B175" s="27" t="s">
        <v>842</v>
      </c>
      <c r="C175" s="27" t="s">
        <v>843</v>
      </c>
      <c r="D175" s="27"/>
      <c r="E175" s="44">
        <f t="shared" si="0"/>
        <v>164</v>
      </c>
      <c r="F175" s="110" t="s">
        <v>844</v>
      </c>
      <c r="G175" s="76" t="s">
        <v>845</v>
      </c>
      <c r="H175" s="111" t="s">
        <v>846</v>
      </c>
      <c r="I175" s="112">
        <f>[1]Итог!D102</f>
        <v>2.7530000000000001</v>
      </c>
      <c r="J175" s="33">
        <f>[1]Ведомость!D109</f>
        <v>10470</v>
      </c>
      <c r="K175" s="34">
        <f t="shared" si="3"/>
        <v>35165.1702</v>
      </c>
      <c r="L175" s="6"/>
      <c r="M175" s="10"/>
      <c r="N175" s="109"/>
      <c r="O175" s="10">
        <v>8.2000000000000003E-2</v>
      </c>
      <c r="R175" s="17"/>
      <c r="S175" s="5"/>
    </row>
    <row r="176" spans="1:19">
      <c r="A176" s="1" t="s">
        <v>22</v>
      </c>
      <c r="B176" s="27" t="s">
        <v>847</v>
      </c>
      <c r="C176" s="27" t="s">
        <v>746</v>
      </c>
      <c r="D176" s="27" t="s">
        <v>747</v>
      </c>
      <c r="E176" s="44">
        <f t="shared" si="0"/>
        <v>165</v>
      </c>
      <c r="F176" s="110" t="s">
        <v>848</v>
      </c>
      <c r="G176" s="76" t="s">
        <v>749</v>
      </c>
      <c r="H176" s="111" t="s">
        <v>750</v>
      </c>
      <c r="I176" s="112">
        <f>[1]Итог!D29</f>
        <v>10.44</v>
      </c>
      <c r="J176" s="33">
        <f>[1]Ведомость!D56</f>
        <v>10470</v>
      </c>
      <c r="K176" s="34">
        <f t="shared" si="3"/>
        <v>133354.29599999997</v>
      </c>
      <c r="L176" s="6"/>
      <c r="M176" s="10"/>
      <c r="N176" s="109"/>
      <c r="O176" s="10">
        <v>0.91</v>
      </c>
      <c r="R176" s="17"/>
      <c r="S176" s="5"/>
    </row>
    <row r="177" spans="1:20">
      <c r="B177" s="27" t="s">
        <v>849</v>
      </c>
      <c r="C177" s="46" t="s">
        <v>850</v>
      </c>
      <c r="D177" s="27"/>
      <c r="E177" s="44">
        <f t="shared" si="0"/>
        <v>166</v>
      </c>
      <c r="F177" s="123" t="s">
        <v>851</v>
      </c>
      <c r="G177" s="30" t="s">
        <v>852</v>
      </c>
      <c r="H177" s="107" t="s">
        <v>853</v>
      </c>
      <c r="I177" s="108">
        <f>[1]Итог!D194</f>
        <v>0.19800000000000001</v>
      </c>
      <c r="J177" s="33">
        <f>[1]Ведомость!D207</f>
        <v>10470</v>
      </c>
      <c r="K177" s="34">
        <f t="shared" si="3"/>
        <v>2529.1331999999998</v>
      </c>
      <c r="L177" s="6"/>
      <c r="M177" s="6"/>
      <c r="N177" s="6"/>
      <c r="O177" s="10">
        <v>1.1240000000000001</v>
      </c>
      <c r="R177" s="17"/>
    </row>
    <row r="178" spans="1:20">
      <c r="B178" s="38" t="s">
        <v>854</v>
      </c>
      <c r="C178" s="27" t="s">
        <v>855</v>
      </c>
      <c r="D178" s="27"/>
      <c r="E178" s="44">
        <f t="shared" si="0"/>
        <v>167</v>
      </c>
      <c r="F178" s="45" t="s">
        <v>856</v>
      </c>
      <c r="G178" s="30" t="s">
        <v>857</v>
      </c>
      <c r="H178" s="31" t="s">
        <v>858</v>
      </c>
      <c r="I178" s="32">
        <f>[1]Итог!D192</f>
        <v>4.8959999999999999</v>
      </c>
      <c r="J178" s="33">
        <f>[1]Ведомость!D205</f>
        <v>10470</v>
      </c>
      <c r="K178" s="34">
        <f t="shared" si="3"/>
        <v>62538.566400000003</v>
      </c>
      <c r="L178" s="6"/>
      <c r="M178" s="124"/>
      <c r="N178" s="124"/>
      <c r="O178" s="10">
        <v>0.373</v>
      </c>
      <c r="R178" s="17"/>
    </row>
    <row r="179" spans="1:20">
      <c r="A179" s="79"/>
      <c r="B179" s="27" t="s">
        <v>859</v>
      </c>
      <c r="C179" s="27" t="s">
        <v>860</v>
      </c>
      <c r="D179" s="27" t="s">
        <v>861</v>
      </c>
      <c r="E179" s="44">
        <f t="shared" si="0"/>
        <v>168</v>
      </c>
      <c r="F179" s="45" t="s">
        <v>862</v>
      </c>
      <c r="G179" s="30" t="s">
        <v>863</v>
      </c>
      <c r="H179" s="31" t="s">
        <v>864</v>
      </c>
      <c r="I179" s="32">
        <f>[1]Итог!D195</f>
        <v>3.5870000000000002</v>
      </c>
      <c r="J179" s="33">
        <f>[1]Ведомость!D208</f>
        <v>10470</v>
      </c>
      <c r="K179" s="34">
        <f t="shared" si="3"/>
        <v>45818.185799999999</v>
      </c>
      <c r="L179" s="6"/>
      <c r="M179" s="109"/>
      <c r="N179" s="109"/>
      <c r="O179" s="10">
        <v>4.1000000000000002E-2</v>
      </c>
      <c r="R179" s="17"/>
    </row>
    <row r="180" spans="1:20">
      <c r="A180" s="79"/>
      <c r="B180" s="38" t="s">
        <v>865</v>
      </c>
      <c r="C180" s="27"/>
      <c r="D180" s="27" t="s">
        <v>866</v>
      </c>
      <c r="E180" s="44">
        <f t="shared" si="0"/>
        <v>169</v>
      </c>
      <c r="F180" s="45" t="s">
        <v>867</v>
      </c>
      <c r="G180" s="30">
        <v>7810133555</v>
      </c>
      <c r="H180" s="107" t="s">
        <v>868</v>
      </c>
      <c r="I180" s="108">
        <f>[1]Итог!D199</f>
        <v>0.14199999999999999</v>
      </c>
      <c r="J180" s="33">
        <f>[1]Ведомость!D211</f>
        <v>10470</v>
      </c>
      <c r="K180" s="34">
        <f t="shared" si="3"/>
        <v>1813.8227999999997</v>
      </c>
      <c r="L180" s="6"/>
      <c r="M180" s="109"/>
      <c r="N180" s="109"/>
      <c r="O180" s="10">
        <v>0.64300000000000002</v>
      </c>
      <c r="R180" s="17"/>
    </row>
    <row r="181" spans="1:20">
      <c r="A181" s="79"/>
      <c r="B181" s="27" t="s">
        <v>869</v>
      </c>
      <c r="C181" s="27" t="s">
        <v>870</v>
      </c>
      <c r="D181" s="27"/>
      <c r="E181" s="44">
        <f t="shared" si="0"/>
        <v>170</v>
      </c>
      <c r="F181" s="45" t="s">
        <v>871</v>
      </c>
      <c r="G181" s="76">
        <v>7810933488</v>
      </c>
      <c r="H181" s="111" t="s">
        <v>872</v>
      </c>
      <c r="I181" s="112">
        <f>[1]Итог!D200</f>
        <v>1.2210000000000001</v>
      </c>
      <c r="J181" s="33">
        <f>[1]Ведомость!D212</f>
        <v>10470</v>
      </c>
      <c r="K181" s="34">
        <f t="shared" si="3"/>
        <v>15596.321400000001</v>
      </c>
      <c r="L181" s="6"/>
      <c r="M181" s="109"/>
      <c r="N181" s="109"/>
      <c r="O181" s="10">
        <v>0.26200000000000001</v>
      </c>
      <c r="R181" s="17"/>
      <c r="S181" s="5"/>
    </row>
    <row r="182" spans="1:20">
      <c r="A182" s="79"/>
      <c r="B182" s="125" t="s">
        <v>873</v>
      </c>
      <c r="C182" s="125"/>
      <c r="D182" s="125"/>
      <c r="E182" s="115">
        <f t="shared" si="0"/>
        <v>171</v>
      </c>
      <c r="F182" s="110" t="s">
        <v>874</v>
      </c>
      <c r="G182" s="76">
        <v>7810699781</v>
      </c>
      <c r="H182" s="111" t="s">
        <v>875</v>
      </c>
      <c r="I182" s="112">
        <f>[1]Итог!D197</f>
        <v>9.02</v>
      </c>
      <c r="J182" s="33">
        <f>[1]Ведомость!D213</f>
        <v>10470</v>
      </c>
      <c r="K182" s="34">
        <f t="shared" si="3"/>
        <v>115216.06799999998</v>
      </c>
      <c r="L182" s="6"/>
      <c r="M182" s="109"/>
      <c r="N182" s="109"/>
      <c r="O182" s="10">
        <v>4.5049999999999999</v>
      </c>
      <c r="R182" s="17"/>
    </row>
    <row r="183" spans="1:20">
      <c r="A183" s="79"/>
      <c r="B183" s="27" t="s">
        <v>876</v>
      </c>
      <c r="C183" s="126" t="s">
        <v>877</v>
      </c>
      <c r="D183" s="27"/>
      <c r="E183" s="44">
        <f t="shared" si="0"/>
        <v>172</v>
      </c>
      <c r="F183" s="45" t="s">
        <v>878</v>
      </c>
      <c r="G183" s="76">
        <v>7805808876</v>
      </c>
      <c r="H183" s="111" t="s">
        <v>879</v>
      </c>
      <c r="I183" s="112">
        <f>[1]Итог!D203</f>
        <v>1.03</v>
      </c>
      <c r="J183" s="33">
        <f>[1]Ведомость!D217</f>
        <v>10470</v>
      </c>
      <c r="K183" s="34">
        <f t="shared" si="3"/>
        <v>13156.602000000001</v>
      </c>
      <c r="L183" s="114"/>
      <c r="M183" s="109"/>
      <c r="N183" s="109"/>
      <c r="O183" s="10">
        <v>5.0449999999999999</v>
      </c>
      <c r="R183" s="6"/>
      <c r="S183" s="6"/>
      <c r="T183" s="6"/>
    </row>
    <row r="184" spans="1:20">
      <c r="A184" s="79"/>
      <c r="B184" s="127" t="s">
        <v>880</v>
      </c>
      <c r="C184" s="27" t="s">
        <v>881</v>
      </c>
      <c r="D184" s="27"/>
      <c r="E184" s="44">
        <f t="shared" si="0"/>
        <v>173</v>
      </c>
      <c r="F184" s="45" t="s">
        <v>882</v>
      </c>
      <c r="G184" s="53">
        <v>7838304360</v>
      </c>
      <c r="H184" s="31" t="s">
        <v>883</v>
      </c>
      <c r="I184" s="32">
        <f>[1]Итог!D206</f>
        <v>0.03</v>
      </c>
      <c r="J184" s="33">
        <f>[1]Ведомость!D218</f>
        <v>10470</v>
      </c>
      <c r="K184" s="34">
        <f t="shared" si="3"/>
        <v>383.20199999999994</v>
      </c>
      <c r="L184" s="114"/>
      <c r="M184" s="109"/>
      <c r="N184" s="109"/>
      <c r="O184" s="10">
        <v>1.6479999999999999</v>
      </c>
    </row>
    <row r="185" spans="1:20">
      <c r="A185" s="79"/>
      <c r="B185" s="127" t="s">
        <v>884</v>
      </c>
      <c r="C185" s="27" t="s">
        <v>885</v>
      </c>
      <c r="D185" s="27"/>
      <c r="E185" s="44">
        <f t="shared" si="0"/>
        <v>174</v>
      </c>
      <c r="F185" s="45" t="s">
        <v>886</v>
      </c>
      <c r="G185" s="128">
        <v>561442381412</v>
      </c>
      <c r="H185" s="31" t="s">
        <v>887</v>
      </c>
      <c r="I185" s="32">
        <f>[1]Итог!D207</f>
        <v>0.32200000000000001</v>
      </c>
      <c r="J185" s="33">
        <f>[1]Ведомость!D219</f>
        <v>10470</v>
      </c>
      <c r="K185" s="34">
        <f t="shared" si="3"/>
        <v>4113.0348000000004</v>
      </c>
      <c r="L185" s="114"/>
      <c r="M185" s="109"/>
      <c r="N185" s="109"/>
      <c r="O185" s="10">
        <v>0.76</v>
      </c>
    </row>
    <row r="186" spans="1:20">
      <c r="A186" s="79"/>
      <c r="B186" s="127" t="s">
        <v>888</v>
      </c>
      <c r="C186" s="27" t="s">
        <v>889</v>
      </c>
      <c r="D186" s="27" t="s">
        <v>267</v>
      </c>
      <c r="E186" s="44">
        <f t="shared" si="0"/>
        <v>175</v>
      </c>
      <c r="F186" s="45" t="s">
        <v>890</v>
      </c>
      <c r="G186" s="128">
        <v>781110456091</v>
      </c>
      <c r="H186" s="31" t="s">
        <v>891</v>
      </c>
      <c r="I186" s="32">
        <f>[1]Итог!D208</f>
        <v>0.69699999999999995</v>
      </c>
      <c r="J186" s="33">
        <f>[1]Ведомость!D220</f>
        <v>10470</v>
      </c>
      <c r="K186" s="34">
        <f t="shared" si="3"/>
        <v>8903.0597999999991</v>
      </c>
      <c r="L186" s="114"/>
      <c r="M186" s="109"/>
      <c r="N186" s="109"/>
      <c r="O186" s="10">
        <v>0.189</v>
      </c>
    </row>
    <row r="187" spans="1:20">
      <c r="A187" s="79"/>
      <c r="B187" s="127" t="s">
        <v>892</v>
      </c>
      <c r="C187" s="27" t="s">
        <v>893</v>
      </c>
      <c r="D187" s="27" t="s">
        <v>894</v>
      </c>
      <c r="E187" s="44">
        <f t="shared" si="0"/>
        <v>176</v>
      </c>
      <c r="F187" s="45" t="s">
        <v>895</v>
      </c>
      <c r="G187" s="128">
        <v>7802425699</v>
      </c>
      <c r="H187" s="31" t="s">
        <v>896</v>
      </c>
      <c r="I187" s="32">
        <f>[1]Итог!D210</f>
        <v>1.5089999999999999</v>
      </c>
      <c r="J187" s="33">
        <f>[1]Ведомость!D222</f>
        <v>10470</v>
      </c>
      <c r="K187" s="34">
        <f t="shared" si="3"/>
        <v>19275.060600000001</v>
      </c>
      <c r="L187" s="114"/>
      <c r="M187" s="109"/>
      <c r="N187" s="109"/>
      <c r="O187" s="10">
        <v>1.4590000000000001</v>
      </c>
    </row>
    <row r="188" spans="1:20">
      <c r="B188" s="27" t="s">
        <v>897</v>
      </c>
      <c r="C188" s="27"/>
      <c r="D188" s="27"/>
      <c r="E188" s="44">
        <f t="shared" si="0"/>
        <v>177</v>
      </c>
      <c r="F188" s="45" t="s">
        <v>898</v>
      </c>
      <c r="G188" s="53">
        <v>7805806170</v>
      </c>
      <c r="H188" s="40" t="s">
        <v>899</v>
      </c>
      <c r="I188" s="32">
        <f>[1]Итог!D185</f>
        <v>12.654</v>
      </c>
      <c r="J188" s="33">
        <f>[1]Ведомость!D214</f>
        <v>10470</v>
      </c>
      <c r="K188" s="34">
        <f t="shared" si="3"/>
        <v>161634.6036</v>
      </c>
      <c r="O188" s="10">
        <v>1.1479999999999999</v>
      </c>
      <c r="P188" s="80"/>
      <c r="R188" s="129"/>
      <c r="S188" s="5"/>
    </row>
    <row r="189" spans="1:20">
      <c r="B189" s="27" t="s">
        <v>900</v>
      </c>
      <c r="C189" s="130" t="s">
        <v>901</v>
      </c>
      <c r="D189" s="27"/>
      <c r="E189" s="44">
        <f t="shared" si="0"/>
        <v>178</v>
      </c>
      <c r="F189" s="45" t="s">
        <v>902</v>
      </c>
      <c r="G189" s="76">
        <v>7806383094</v>
      </c>
      <c r="H189" s="111" t="s">
        <v>903</v>
      </c>
      <c r="I189" s="112">
        <f>[1]Итог!D211</f>
        <v>0</v>
      </c>
      <c r="J189" s="113">
        <f>[1]Ведомость!D225</f>
        <v>10470</v>
      </c>
      <c r="K189" s="34">
        <f t="shared" si="3"/>
        <v>0</v>
      </c>
      <c r="O189" s="10">
        <v>0.06</v>
      </c>
      <c r="P189" s="80"/>
      <c r="Q189" s="5"/>
    </row>
    <row r="190" spans="1:20">
      <c r="B190" s="131" t="s">
        <v>904</v>
      </c>
      <c r="C190" s="132" t="s">
        <v>905</v>
      </c>
      <c r="D190" s="133" t="s">
        <v>906</v>
      </c>
      <c r="E190" s="44">
        <f t="shared" si="0"/>
        <v>179</v>
      </c>
      <c r="F190" s="123" t="s">
        <v>907</v>
      </c>
      <c r="G190" s="30">
        <v>7805815400</v>
      </c>
      <c r="H190" s="107" t="s">
        <v>908</v>
      </c>
      <c r="I190" s="108">
        <f>[1]Итог!D215</f>
        <v>11.286</v>
      </c>
      <c r="J190" s="134">
        <f>[1]Ведомость!D228</f>
        <v>10470</v>
      </c>
      <c r="K190" s="34">
        <f t="shared" si="3"/>
        <v>144160.59239999999</v>
      </c>
      <c r="O190" s="10">
        <v>9.1430000000000007</v>
      </c>
      <c r="P190" s="80"/>
      <c r="Q190" s="5"/>
    </row>
    <row r="191" spans="1:20">
      <c r="B191" s="135" t="s">
        <v>909</v>
      </c>
      <c r="C191" s="136">
        <v>89119495919</v>
      </c>
      <c r="D191" s="125" t="s">
        <v>910</v>
      </c>
      <c r="E191" s="44">
        <f t="shared" si="0"/>
        <v>180</v>
      </c>
      <c r="F191" s="110" t="s">
        <v>911</v>
      </c>
      <c r="G191" s="76">
        <v>7811678015</v>
      </c>
      <c r="H191" s="111" t="s">
        <v>912</v>
      </c>
      <c r="I191" s="112">
        <f>[1]Итог!D216</f>
        <v>14.275</v>
      </c>
      <c r="J191" s="113">
        <f>[1]Ведомость!D229</f>
        <v>10470</v>
      </c>
      <c r="K191" s="34">
        <f t="shared" si="3"/>
        <v>182340.285</v>
      </c>
      <c r="O191" s="10">
        <v>14.587</v>
      </c>
      <c r="P191" s="80"/>
      <c r="Q191" s="5"/>
    </row>
    <row r="192" spans="1:20">
      <c r="B192" s="135" t="s">
        <v>913</v>
      </c>
      <c r="C192" s="136" t="s">
        <v>914</v>
      </c>
      <c r="D192" s="125"/>
      <c r="E192" s="44">
        <f t="shared" si="0"/>
        <v>181</v>
      </c>
      <c r="F192" s="110" t="s">
        <v>915</v>
      </c>
      <c r="G192" s="76">
        <v>7733423360</v>
      </c>
      <c r="H192" s="111" t="s">
        <v>916</v>
      </c>
      <c r="I192" s="112">
        <f>[1]Итог!D217</f>
        <v>2.2029999999999998</v>
      </c>
      <c r="J192" s="113">
        <f>[1]Ведомость!D230</f>
        <v>10470</v>
      </c>
      <c r="K192" s="34">
        <f t="shared" si="3"/>
        <v>28139.800199999998</v>
      </c>
      <c r="O192" s="10">
        <v>1.66</v>
      </c>
      <c r="P192" s="80"/>
      <c r="Q192" s="5"/>
    </row>
    <row r="193" spans="1:17">
      <c r="B193" s="135" t="s">
        <v>917</v>
      </c>
      <c r="C193" s="136" t="s">
        <v>918</v>
      </c>
      <c r="D193" s="125" t="s">
        <v>919</v>
      </c>
      <c r="E193" s="44">
        <f t="shared" si="0"/>
        <v>182</v>
      </c>
      <c r="F193" s="110" t="s">
        <v>920</v>
      </c>
      <c r="G193" s="76">
        <v>442900829827</v>
      </c>
      <c r="H193" s="111" t="s">
        <v>921</v>
      </c>
      <c r="I193" s="112">
        <f>[1]Итог!D218</f>
        <v>0.55100000000000005</v>
      </c>
      <c r="J193" s="113">
        <f>[1]Ведомость!D231</f>
        <v>10470</v>
      </c>
      <c r="K193" s="34">
        <f t="shared" si="3"/>
        <v>7038.1433999999999</v>
      </c>
      <c r="O193" s="10">
        <v>1.788</v>
      </c>
      <c r="P193" s="80"/>
      <c r="Q193" s="5"/>
    </row>
    <row r="194" spans="1:17">
      <c r="A194" s="79" t="s">
        <v>22</v>
      </c>
      <c r="B194" s="135" t="s">
        <v>922</v>
      </c>
      <c r="C194" s="136" t="s">
        <v>923</v>
      </c>
      <c r="D194" s="125" t="s">
        <v>924</v>
      </c>
      <c r="E194" s="44">
        <f t="shared" si="0"/>
        <v>183</v>
      </c>
      <c r="F194" s="110" t="s">
        <v>925</v>
      </c>
      <c r="G194" s="76">
        <v>7805795338</v>
      </c>
      <c r="H194" s="111" t="s">
        <v>926</v>
      </c>
      <c r="I194" s="112">
        <f>[1]Итог!D219</f>
        <v>0.60599999999999998</v>
      </c>
      <c r="J194" s="113">
        <f>[1]Ведомость!D232</f>
        <v>10470</v>
      </c>
      <c r="K194" s="34">
        <f t="shared" si="3"/>
        <v>7740.6803999999993</v>
      </c>
      <c r="O194" s="10">
        <v>3.4430000000000001</v>
      </c>
      <c r="P194" s="80"/>
      <c r="Q194" s="5"/>
    </row>
    <row r="195" spans="1:17">
      <c r="A195" s="79"/>
      <c r="B195" s="135" t="s">
        <v>927</v>
      </c>
      <c r="C195" s="136"/>
      <c r="D195" s="125"/>
      <c r="E195" s="44">
        <f t="shared" si="0"/>
        <v>184</v>
      </c>
      <c r="F195" s="137" t="s">
        <v>928</v>
      </c>
      <c r="G195" s="138">
        <v>7826023340</v>
      </c>
      <c r="H195" s="111" t="s">
        <v>929</v>
      </c>
      <c r="I195" s="112">
        <f>[1]Итог!D220</f>
        <v>29.718</v>
      </c>
      <c r="J195" s="113">
        <f>[1]Ведомость!D232</f>
        <v>10470</v>
      </c>
      <c r="K195" s="34">
        <f t="shared" si="3"/>
        <v>379599.90120000002</v>
      </c>
      <c r="O195" s="10">
        <v>2.14</v>
      </c>
      <c r="P195" s="80"/>
      <c r="Q195" s="5"/>
    </row>
    <row r="196" spans="1:17">
      <c r="A196" s="79"/>
      <c r="B196" s="135" t="s">
        <v>930</v>
      </c>
      <c r="C196" s="136"/>
      <c r="D196" s="125"/>
      <c r="E196" s="44">
        <f t="shared" si="0"/>
        <v>185</v>
      </c>
      <c r="F196" s="137" t="s">
        <v>931</v>
      </c>
      <c r="G196" s="138">
        <v>290224896026</v>
      </c>
      <c r="H196" s="111" t="s">
        <v>932</v>
      </c>
      <c r="I196" s="112">
        <f>[1]Итог!D221</f>
        <v>8.7379999999999995</v>
      </c>
      <c r="J196" s="113">
        <f>[1]Ведомость!D232</f>
        <v>10470</v>
      </c>
      <c r="K196" s="34">
        <f t="shared" si="3"/>
        <v>111613.96919999999</v>
      </c>
      <c r="O196" s="10">
        <v>0.86399999999999999</v>
      </c>
      <c r="P196" s="80"/>
      <c r="Q196" s="5"/>
    </row>
    <row r="197" spans="1:17">
      <c r="A197" s="79"/>
      <c r="B197" s="135" t="s">
        <v>933</v>
      </c>
      <c r="C197" s="136"/>
      <c r="D197" s="125"/>
      <c r="E197" s="44">
        <f t="shared" si="0"/>
        <v>186</v>
      </c>
      <c r="F197" s="137" t="s">
        <v>934</v>
      </c>
      <c r="G197" s="138">
        <v>7813647414</v>
      </c>
      <c r="H197" s="111" t="s">
        <v>935</v>
      </c>
      <c r="I197" s="112">
        <f>[1]Итог!D222</f>
        <v>108.517</v>
      </c>
      <c r="J197" s="113">
        <f>[1]Ведомость!D232</f>
        <v>10470</v>
      </c>
      <c r="K197" s="34">
        <f t="shared" si="3"/>
        <v>1386131.0478000001</v>
      </c>
      <c r="O197" s="10">
        <v>2E-3</v>
      </c>
      <c r="P197" s="80"/>
      <c r="Q197" s="5"/>
    </row>
    <row r="198" spans="1:17">
      <c r="A198" s="79"/>
      <c r="B198" s="135" t="s">
        <v>936</v>
      </c>
      <c r="C198" s="139" t="s">
        <v>937</v>
      </c>
      <c r="D198" s="125"/>
      <c r="E198" s="44">
        <f t="shared" si="0"/>
        <v>187</v>
      </c>
      <c r="F198" s="137" t="s">
        <v>938</v>
      </c>
      <c r="G198" s="138">
        <v>7805823264</v>
      </c>
      <c r="H198" s="111" t="s">
        <v>939</v>
      </c>
      <c r="I198" s="112">
        <f>[1]Итог!D223</f>
        <v>0</v>
      </c>
      <c r="J198" s="113">
        <f>[1]Ведомость!D232</f>
        <v>10470</v>
      </c>
      <c r="K198" s="34">
        <f t="shared" si="3"/>
        <v>0</v>
      </c>
      <c r="O198" s="10">
        <v>87.129000000000005</v>
      </c>
      <c r="P198" s="80"/>
      <c r="Q198" s="5"/>
    </row>
    <row r="199" spans="1:17">
      <c r="A199" s="79"/>
      <c r="B199" s="135" t="s">
        <v>940</v>
      </c>
      <c r="C199" s="139" t="s">
        <v>941</v>
      </c>
      <c r="D199" s="125"/>
      <c r="E199" s="44">
        <f t="shared" si="0"/>
        <v>188</v>
      </c>
      <c r="F199" s="137" t="s">
        <v>942</v>
      </c>
      <c r="G199" s="138">
        <v>7814033520</v>
      </c>
      <c r="H199" s="111" t="s">
        <v>943</v>
      </c>
      <c r="I199" s="112">
        <f>[1]Итог!D224</f>
        <v>1.2929999999999999</v>
      </c>
      <c r="J199" s="113">
        <f>[1]Ведомость!D232</f>
        <v>10470</v>
      </c>
      <c r="K199" s="34">
        <f t="shared" si="3"/>
        <v>16516.0062</v>
      </c>
      <c r="O199" s="10">
        <v>3</v>
      </c>
      <c r="P199" s="80"/>
      <c r="Q199" s="5"/>
    </row>
    <row r="200" spans="1:17">
      <c r="A200" s="1" t="s">
        <v>22</v>
      </c>
      <c r="B200" s="140" t="s">
        <v>944</v>
      </c>
      <c r="C200" s="140" t="s">
        <v>945</v>
      </c>
      <c r="D200" s="140"/>
      <c r="E200" s="56">
        <f t="shared" si="0"/>
        <v>189</v>
      </c>
      <c r="F200" s="141" t="s">
        <v>946</v>
      </c>
      <c r="G200" s="142">
        <v>7805684571</v>
      </c>
      <c r="H200" s="143" t="s">
        <v>947</v>
      </c>
      <c r="I200" s="112">
        <f>[1]Итог!D225</f>
        <v>0</v>
      </c>
      <c r="J200" s="144">
        <f>[1]Ведомость!D232</f>
        <v>10470</v>
      </c>
      <c r="K200" s="34">
        <f t="shared" si="3"/>
        <v>0</v>
      </c>
      <c r="L200" s="6"/>
      <c r="O200" s="10">
        <v>13.222</v>
      </c>
      <c r="P200" s="80"/>
      <c r="Q200" s="5"/>
    </row>
    <row r="201" spans="1:17">
      <c r="B201" s="145" t="s">
        <v>948</v>
      </c>
      <c r="C201" s="140" t="s">
        <v>949</v>
      </c>
      <c r="D201" s="140"/>
      <c r="E201" s="56">
        <f t="shared" si="0"/>
        <v>190</v>
      </c>
      <c r="F201" s="141" t="s">
        <v>950</v>
      </c>
      <c r="G201" s="142">
        <v>7817126324</v>
      </c>
      <c r="H201" s="143" t="s">
        <v>951</v>
      </c>
      <c r="I201" s="112">
        <f>[1]Итог!D46</f>
        <v>0.373</v>
      </c>
      <c r="J201" s="144">
        <f>[1]Ведомость!D232</f>
        <v>10470</v>
      </c>
      <c r="K201" s="34">
        <f t="shared" si="3"/>
        <v>4764.4781999999996</v>
      </c>
      <c r="L201" s="6"/>
      <c r="O201" s="10">
        <v>0.29399999999999998</v>
      </c>
      <c r="P201" s="80"/>
      <c r="Q201" s="5"/>
    </row>
    <row r="202" spans="1:17">
      <c r="B202" s="145" t="s">
        <v>952</v>
      </c>
      <c r="C202" s="140" t="s">
        <v>953</v>
      </c>
      <c r="D202" s="140"/>
      <c r="E202" s="56">
        <f t="shared" si="0"/>
        <v>191</v>
      </c>
      <c r="F202" s="141" t="s">
        <v>954</v>
      </c>
      <c r="G202" s="146" t="s">
        <v>955</v>
      </c>
      <c r="H202" s="143" t="s">
        <v>956</v>
      </c>
      <c r="I202" s="112">
        <f>[1]Итог!D50</f>
        <v>4.1000000000000002E-2</v>
      </c>
      <c r="J202" s="144">
        <f>[1]Ведомость!D232</f>
        <v>10470</v>
      </c>
      <c r="K202" s="34">
        <f t="shared" si="3"/>
        <v>523.70940000000007</v>
      </c>
      <c r="L202" s="6"/>
      <c r="O202" s="10">
        <v>2.2229999999999999</v>
      </c>
      <c r="P202" s="80"/>
      <c r="Q202" s="5"/>
    </row>
    <row r="203" spans="1:17">
      <c r="B203" s="145" t="s">
        <v>957</v>
      </c>
      <c r="C203" s="140" t="s">
        <v>958</v>
      </c>
      <c r="D203" s="140"/>
      <c r="E203" s="56">
        <f t="shared" si="0"/>
        <v>192</v>
      </c>
      <c r="F203" s="141" t="s">
        <v>959</v>
      </c>
      <c r="G203" s="147">
        <v>7811782707</v>
      </c>
      <c r="H203" s="143" t="s">
        <v>960</v>
      </c>
      <c r="I203" s="112">
        <f>[1]Итог!D33</f>
        <v>1.1240000000000001</v>
      </c>
      <c r="J203" s="144">
        <f>[1]Ведомость!D232</f>
        <v>10470</v>
      </c>
      <c r="K203" s="34">
        <f t="shared" si="3"/>
        <v>14357.301600000001</v>
      </c>
      <c r="L203" s="6"/>
      <c r="O203" s="10">
        <v>6.3650000000000002</v>
      </c>
      <c r="P203" s="80"/>
      <c r="Q203" s="5"/>
    </row>
    <row r="204" spans="1:17">
      <c r="A204" s="79" t="s">
        <v>22</v>
      </c>
      <c r="B204" s="125" t="s">
        <v>337</v>
      </c>
      <c r="C204" s="125" t="s">
        <v>961</v>
      </c>
      <c r="D204" s="125"/>
      <c r="E204" s="44">
        <f t="shared" si="0"/>
        <v>193</v>
      </c>
      <c r="F204" s="29" t="s">
        <v>962</v>
      </c>
      <c r="G204" s="147">
        <v>7805813587</v>
      </c>
      <c r="H204" s="143" t="s">
        <v>963</v>
      </c>
      <c r="I204" s="112">
        <f>[1]Итог!D226</f>
        <v>2.9329999999999998</v>
      </c>
      <c r="J204" s="144">
        <f>[1]Ведомость!D232</f>
        <v>10470</v>
      </c>
      <c r="K204" s="34">
        <f t="shared" ref="K204:K233" si="4">I204*J204*1.22</f>
        <v>37464.3822</v>
      </c>
      <c r="L204" s="6"/>
      <c r="O204" s="10">
        <v>2.9329999999999998</v>
      </c>
      <c r="P204" s="80"/>
      <c r="Q204" s="5"/>
    </row>
    <row r="205" spans="1:17">
      <c r="A205" s="79"/>
      <c r="B205" s="125" t="s">
        <v>964</v>
      </c>
      <c r="C205" s="125" t="s">
        <v>965</v>
      </c>
      <c r="D205" s="125"/>
      <c r="E205" s="44">
        <f t="shared" si="0"/>
        <v>194</v>
      </c>
      <c r="F205" s="29" t="s">
        <v>966</v>
      </c>
      <c r="G205" s="147">
        <v>7806584386</v>
      </c>
      <c r="H205" s="143" t="s">
        <v>967</v>
      </c>
      <c r="I205" s="112">
        <f>[1]Итог!D227</f>
        <v>1.1479999999999999</v>
      </c>
      <c r="J205" s="144">
        <f>[1]Ведомость!D232</f>
        <v>10470</v>
      </c>
      <c r="K205" s="34">
        <f t="shared" si="4"/>
        <v>14663.8632</v>
      </c>
      <c r="L205" s="6"/>
      <c r="O205" s="10">
        <v>3.0000000000000001E-3</v>
      </c>
      <c r="P205" s="80"/>
      <c r="Q205" s="5"/>
    </row>
    <row r="206" spans="1:17">
      <c r="A206" s="79"/>
      <c r="B206" s="125" t="s">
        <v>968</v>
      </c>
      <c r="C206" s="125" t="s">
        <v>969</v>
      </c>
      <c r="D206" s="125"/>
      <c r="E206" s="44">
        <f t="shared" si="0"/>
        <v>195</v>
      </c>
      <c r="F206" s="29" t="s">
        <v>970</v>
      </c>
      <c r="G206" s="146" t="s">
        <v>971</v>
      </c>
      <c r="H206" s="143" t="s">
        <v>972</v>
      </c>
      <c r="I206" s="112">
        <f>[1]Итог!D228</f>
        <v>0.06</v>
      </c>
      <c r="J206" s="144">
        <f>[1]Ведомость!D232</f>
        <v>10470</v>
      </c>
      <c r="K206" s="34">
        <f t="shared" si="4"/>
        <v>766.40399999999988</v>
      </c>
      <c r="L206" s="6"/>
      <c r="O206" s="10">
        <v>6.4379999999999997</v>
      </c>
      <c r="P206" s="80"/>
      <c r="Q206" s="5"/>
    </row>
    <row r="207" spans="1:17">
      <c r="A207" s="79"/>
      <c r="B207" s="125" t="s">
        <v>973</v>
      </c>
      <c r="C207" s="125" t="s">
        <v>974</v>
      </c>
      <c r="D207" s="125" t="s">
        <v>975</v>
      </c>
      <c r="E207" s="44">
        <f t="shared" si="0"/>
        <v>196</v>
      </c>
      <c r="F207" s="82" t="s">
        <v>976</v>
      </c>
      <c r="G207" s="147">
        <v>4707047667</v>
      </c>
      <c r="H207" s="143" t="s">
        <v>977</v>
      </c>
      <c r="I207" s="112">
        <f>[1]Итог!D213</f>
        <v>9.1430000000000007</v>
      </c>
      <c r="J207" s="144">
        <f>[1]Ведомость!D232</f>
        <v>10470</v>
      </c>
      <c r="K207" s="34">
        <f t="shared" si="4"/>
        <v>116787.19620000001</v>
      </c>
      <c r="L207" s="6"/>
      <c r="O207" s="10">
        <v>11.516</v>
      </c>
      <c r="P207" s="80"/>
      <c r="Q207" s="5"/>
    </row>
    <row r="208" spans="1:17">
      <c r="A208" s="79" t="s">
        <v>22</v>
      </c>
      <c r="B208" s="125" t="s">
        <v>978</v>
      </c>
      <c r="C208" s="125" t="s">
        <v>979</v>
      </c>
      <c r="D208" s="125" t="s">
        <v>980</v>
      </c>
      <c r="E208" s="44">
        <f t="shared" si="0"/>
        <v>197</v>
      </c>
      <c r="F208" s="29" t="s">
        <v>981</v>
      </c>
      <c r="G208" s="147">
        <v>7816575084</v>
      </c>
      <c r="H208" s="143" t="s">
        <v>982</v>
      </c>
      <c r="I208" s="112">
        <f>[1]Итог!D212</f>
        <v>14.587</v>
      </c>
      <c r="J208" s="144">
        <f>[1]Ведомость!D232</f>
        <v>10470</v>
      </c>
      <c r="K208" s="34">
        <f t="shared" si="4"/>
        <v>186325.58579999997</v>
      </c>
      <c r="L208" s="6"/>
      <c r="O208" s="10">
        <v>1.1890000000000001</v>
      </c>
      <c r="P208" s="80"/>
      <c r="Q208" s="5"/>
    </row>
    <row r="209" spans="1:18">
      <c r="A209" s="79" t="s">
        <v>22</v>
      </c>
      <c r="B209" s="125" t="s">
        <v>983</v>
      </c>
      <c r="C209" s="27" t="s">
        <v>984</v>
      </c>
      <c r="D209" s="27"/>
      <c r="E209" s="44">
        <f t="shared" si="0"/>
        <v>198</v>
      </c>
      <c r="F209" s="29" t="s">
        <v>985</v>
      </c>
      <c r="G209" s="147" t="s">
        <v>986</v>
      </c>
      <c r="H209" s="143" t="s">
        <v>987</v>
      </c>
      <c r="I209" s="112">
        <f>[1]Итог!D196</f>
        <v>3.0000000000000001E-3</v>
      </c>
      <c r="J209" s="144">
        <f>[1]Ведомость!D232</f>
        <v>10470</v>
      </c>
      <c r="K209" s="34">
        <f t="shared" si="4"/>
        <v>38.3202</v>
      </c>
      <c r="L209" s="6"/>
      <c r="O209" s="17"/>
      <c r="P209" s="80"/>
      <c r="Q209" s="5"/>
    </row>
    <row r="210" spans="1:18">
      <c r="A210" s="1" t="s">
        <v>22</v>
      </c>
      <c r="B210" s="27" t="s">
        <v>897</v>
      </c>
      <c r="C210" s="27">
        <v>89211868507</v>
      </c>
      <c r="D210" s="27"/>
      <c r="E210" s="56">
        <f t="shared" si="0"/>
        <v>199</v>
      </c>
      <c r="F210" s="82" t="s">
        <v>988</v>
      </c>
      <c r="G210" s="148">
        <v>100114425909</v>
      </c>
      <c r="H210" s="149" t="s">
        <v>989</v>
      </c>
      <c r="I210" s="112">
        <f>[1]Итог!D209</f>
        <v>6.4379999999999997</v>
      </c>
      <c r="J210" s="144">
        <f>[1]Ведомость!D232</f>
        <v>10470</v>
      </c>
      <c r="K210" s="34">
        <f t="shared" si="4"/>
        <v>82235.1492</v>
      </c>
      <c r="L210" s="6"/>
      <c r="O210" s="17"/>
      <c r="P210" s="80"/>
      <c r="Q210" s="5"/>
    </row>
    <row r="211" spans="1:18">
      <c r="B211" s="150" t="s">
        <v>990</v>
      </c>
      <c r="C211" s="151" t="s">
        <v>991</v>
      </c>
      <c r="D211" s="151"/>
      <c r="E211" s="56">
        <f t="shared" si="0"/>
        <v>200</v>
      </c>
      <c r="F211" s="82" t="s">
        <v>992</v>
      </c>
      <c r="G211" s="152">
        <v>7811621033</v>
      </c>
      <c r="H211" s="153" t="s">
        <v>993</v>
      </c>
      <c r="I211" s="112">
        <f>[1]Итог!D229</f>
        <v>1.4590000000000001</v>
      </c>
      <c r="J211" s="144">
        <f>[1]Ведомость!D232</f>
        <v>10470</v>
      </c>
      <c r="K211" s="34">
        <f t="shared" si="4"/>
        <v>18636.390600000002</v>
      </c>
      <c r="L211" s="6"/>
      <c r="O211" s="17"/>
      <c r="P211" s="80"/>
      <c r="Q211" s="5"/>
    </row>
    <row r="212" spans="1:18">
      <c r="B212" s="150" t="s">
        <v>994</v>
      </c>
      <c r="C212" s="151" t="s">
        <v>995</v>
      </c>
      <c r="D212" s="151"/>
      <c r="E212" s="56">
        <f t="shared" si="0"/>
        <v>201</v>
      </c>
      <c r="F212" s="82" t="s">
        <v>996</v>
      </c>
      <c r="G212" s="152">
        <v>7811313247</v>
      </c>
      <c r="H212" s="153" t="s">
        <v>997</v>
      </c>
      <c r="I212" s="112">
        <f>[1]Итог!D230</f>
        <v>0.189</v>
      </c>
      <c r="J212" s="144">
        <f>[1]Ведомость!D232</f>
        <v>10470</v>
      </c>
      <c r="K212" s="34">
        <f t="shared" si="4"/>
        <v>2414.1725999999999</v>
      </c>
      <c r="L212" s="6"/>
      <c r="O212" s="17"/>
      <c r="P212" s="80"/>
      <c r="Q212" s="5"/>
    </row>
    <row r="213" spans="1:18">
      <c r="B213" s="150" t="s">
        <v>998</v>
      </c>
      <c r="C213" s="151" t="s">
        <v>999</v>
      </c>
      <c r="D213" s="151"/>
      <c r="E213" s="56">
        <f t="shared" si="0"/>
        <v>202</v>
      </c>
      <c r="F213" s="82" t="s">
        <v>1000</v>
      </c>
      <c r="G213" s="152">
        <v>7805361877</v>
      </c>
      <c r="H213" s="153" t="s">
        <v>1001</v>
      </c>
      <c r="I213" s="112">
        <f>[1]Итог!D231</f>
        <v>1.66</v>
      </c>
      <c r="J213" s="144">
        <f>[1]Ведомость!D232</f>
        <v>10470</v>
      </c>
      <c r="K213" s="34">
        <f t="shared" si="4"/>
        <v>21203.844000000001</v>
      </c>
      <c r="L213" s="6"/>
      <c r="O213" s="17"/>
      <c r="P213" s="80"/>
      <c r="Q213" s="5"/>
    </row>
    <row r="214" spans="1:18">
      <c r="B214" s="150" t="s">
        <v>1002</v>
      </c>
      <c r="C214" s="151" t="s">
        <v>1003</v>
      </c>
      <c r="D214" s="151"/>
      <c r="E214" s="56">
        <f t="shared" si="0"/>
        <v>203</v>
      </c>
      <c r="F214" s="82" t="s">
        <v>1004</v>
      </c>
      <c r="G214" s="152">
        <v>7806387170</v>
      </c>
      <c r="H214" s="153" t="s">
        <v>1005</v>
      </c>
      <c r="I214" s="112">
        <f>[1]Итог!D232</f>
        <v>1.788</v>
      </c>
      <c r="J214" s="144">
        <f>[1]Ведомость!D232</f>
        <v>10470</v>
      </c>
      <c r="K214" s="34">
        <f t="shared" si="4"/>
        <v>22838.839199999999</v>
      </c>
      <c r="L214" s="6"/>
      <c r="O214" s="17"/>
      <c r="P214" s="80"/>
      <c r="Q214" s="5"/>
    </row>
    <row r="215" spans="1:18">
      <c r="B215" s="150" t="s">
        <v>1006</v>
      </c>
      <c r="C215" s="151" t="s">
        <v>1007</v>
      </c>
      <c r="D215" s="151"/>
      <c r="E215" s="56">
        <f t="shared" si="0"/>
        <v>204</v>
      </c>
      <c r="F215" s="82" t="s">
        <v>1008</v>
      </c>
      <c r="G215" s="152">
        <v>7811800748</v>
      </c>
      <c r="H215" s="153" t="s">
        <v>1009</v>
      </c>
      <c r="I215" s="112">
        <f>[1]Итог!D233</f>
        <v>11.516</v>
      </c>
      <c r="J215" s="144">
        <f>[1]Ведомость!D232</f>
        <v>10470</v>
      </c>
      <c r="K215" s="34">
        <f>I215*J215*1.22</f>
        <v>147098.47440000001</v>
      </c>
      <c r="L215" s="6"/>
      <c r="O215" s="17"/>
      <c r="P215" s="80"/>
      <c r="Q215" s="5"/>
    </row>
    <row r="216" spans="1:18">
      <c r="B216" s="150" t="s">
        <v>1010</v>
      </c>
      <c r="C216" s="151" t="s">
        <v>1011</v>
      </c>
      <c r="D216" s="151"/>
      <c r="E216" s="56">
        <f>ROW()-11</f>
        <v>205</v>
      </c>
      <c r="F216" s="82" t="s">
        <v>1012</v>
      </c>
      <c r="G216" s="152">
        <v>7802591110</v>
      </c>
      <c r="H216" s="153" t="s">
        <v>1013</v>
      </c>
      <c r="I216" s="112">
        <f>[1]Итог!D234</f>
        <v>1.1890000000000001</v>
      </c>
      <c r="J216" s="144">
        <f>[1]Ведомость!D232</f>
        <v>10470</v>
      </c>
      <c r="K216" s="34">
        <f>I216*J216*1.22</f>
        <v>15187.5726</v>
      </c>
      <c r="L216" s="6"/>
      <c r="O216" s="17"/>
      <c r="P216" s="80"/>
      <c r="Q216" s="5"/>
    </row>
    <row r="217" spans="1:18" ht="13.5" thickBot="1">
      <c r="A217" s="79" t="s">
        <v>22</v>
      </c>
      <c r="B217" s="154" t="s">
        <v>1014</v>
      </c>
      <c r="C217" s="154" t="s">
        <v>1015</v>
      </c>
      <c r="D217" s="154" t="s">
        <v>1016</v>
      </c>
      <c r="E217" s="155">
        <f t="shared" si="0"/>
        <v>206</v>
      </c>
      <c r="F217" s="156" t="s">
        <v>1017</v>
      </c>
      <c r="G217" s="157" t="s">
        <v>1018</v>
      </c>
      <c r="H217" s="158" t="s">
        <v>1019</v>
      </c>
      <c r="I217" s="159">
        <f>[1]Итог!D152</f>
        <v>3.54</v>
      </c>
      <c r="J217" s="160">
        <f>[1]Ведомость!D162</f>
        <v>10470</v>
      </c>
      <c r="K217" s="161">
        <f t="shared" si="4"/>
        <v>45217.836000000003</v>
      </c>
      <c r="M217" s="162">
        <f>SUM(I12:I217)</f>
        <v>9794.1880000000019</v>
      </c>
      <c r="N217" s="6"/>
      <c r="O217" s="163">
        <f>SUM(O12:O214)</f>
        <v>9794.1880000000056</v>
      </c>
      <c r="P217" s="80"/>
      <c r="Q217" s="164">
        <f>M217-O217</f>
        <v>0</v>
      </c>
    </row>
    <row r="218" spans="1:18">
      <c r="B218" s="151" t="s">
        <v>1020</v>
      </c>
      <c r="C218" s="165"/>
      <c r="D218" s="165"/>
      <c r="E218" s="155">
        <f t="shared" si="0"/>
        <v>207</v>
      </c>
      <c r="F218" s="166" t="s">
        <v>1021</v>
      </c>
      <c r="G218" s="167" t="s">
        <v>1022</v>
      </c>
      <c r="H218" s="168" t="s">
        <v>1023</v>
      </c>
      <c r="I218" s="169">
        <f>[1]Итог!D15</f>
        <v>284.01400000000001</v>
      </c>
      <c r="J218" s="170">
        <f>[1]Ведомость!D23</f>
        <v>8940</v>
      </c>
      <c r="K218" s="171">
        <f t="shared" si="4"/>
        <v>3097683.8952000001</v>
      </c>
      <c r="L218" s="6"/>
      <c r="O218" s="10">
        <v>284.01400000000001</v>
      </c>
      <c r="P218" s="80"/>
      <c r="Q218" s="5"/>
      <c r="R218" s="17"/>
    </row>
    <row r="219" spans="1:18">
      <c r="A219" s="79" t="s">
        <v>22</v>
      </c>
      <c r="B219" s="125" t="s">
        <v>1024</v>
      </c>
      <c r="C219" s="27" t="s">
        <v>1025</v>
      </c>
      <c r="D219" s="27"/>
      <c r="E219" s="44">
        <f t="shared" si="0"/>
        <v>208</v>
      </c>
      <c r="F219" s="29" t="s">
        <v>1026</v>
      </c>
      <c r="G219" s="147" t="s">
        <v>1027</v>
      </c>
      <c r="H219" s="40" t="s">
        <v>1028</v>
      </c>
      <c r="I219" s="172">
        <f>[1]Итог!D86</f>
        <v>0</v>
      </c>
      <c r="J219" s="33">
        <f>[1]Ведомость!D93</f>
        <v>10470</v>
      </c>
      <c r="K219" s="34">
        <f t="shared" si="4"/>
        <v>0</v>
      </c>
      <c r="L219" s="6"/>
      <c r="O219" s="10">
        <v>20.059000000000001</v>
      </c>
      <c r="P219" s="80"/>
      <c r="Q219" s="5"/>
      <c r="R219" s="17"/>
    </row>
    <row r="220" spans="1:18" ht="22.5">
      <c r="B220" s="173" t="s">
        <v>76</v>
      </c>
      <c r="C220" s="66" t="s">
        <v>1029</v>
      </c>
      <c r="D220" s="27"/>
      <c r="E220" s="44">
        <f t="shared" si="0"/>
        <v>209</v>
      </c>
      <c r="F220" s="82" t="s">
        <v>1030</v>
      </c>
      <c r="G220" s="174">
        <v>7805391695</v>
      </c>
      <c r="H220" s="175" t="s">
        <v>1031</v>
      </c>
      <c r="I220" s="176">
        <f>[1]Итог!D47</f>
        <v>7.8E-2</v>
      </c>
      <c r="J220" s="85">
        <f>[1]Ведомость!D53</f>
        <v>10470</v>
      </c>
      <c r="K220" s="34">
        <f t="shared" si="4"/>
        <v>996.3252</v>
      </c>
      <c r="L220" s="6"/>
      <c r="O220" s="10">
        <v>7.8E-2</v>
      </c>
      <c r="P220" s="80"/>
      <c r="Q220" s="5"/>
      <c r="R220" s="17"/>
    </row>
    <row r="221" spans="1:18">
      <c r="A221" s="79" t="s">
        <v>22</v>
      </c>
      <c r="B221" s="177" t="s">
        <v>1032</v>
      </c>
      <c r="C221" s="27" t="s">
        <v>1033</v>
      </c>
      <c r="D221" s="27"/>
      <c r="E221" s="44">
        <f t="shared" si="0"/>
        <v>210</v>
      </c>
      <c r="F221" s="29" t="s">
        <v>1034</v>
      </c>
      <c r="G221" s="147" t="s">
        <v>1035</v>
      </c>
      <c r="H221" s="40" t="s">
        <v>1036</v>
      </c>
      <c r="I221" s="172">
        <f>[1]Итог!D57</f>
        <v>0</v>
      </c>
      <c r="J221" s="33">
        <f>[1]Ведомость!D65</f>
        <v>10470</v>
      </c>
      <c r="K221" s="34">
        <f t="shared" si="4"/>
        <v>0</v>
      </c>
      <c r="L221" s="6"/>
      <c r="O221" s="10"/>
      <c r="P221" s="80"/>
      <c r="Q221" s="5"/>
      <c r="R221" s="17"/>
    </row>
    <row r="222" spans="1:18" ht="13.5" thickBot="1">
      <c r="A222" s="178"/>
      <c r="B222" s="179" t="s">
        <v>1037</v>
      </c>
      <c r="C222" s="179" t="s">
        <v>1038</v>
      </c>
      <c r="D222" s="179" t="s">
        <v>1039</v>
      </c>
      <c r="E222" s="180">
        <f t="shared" si="0"/>
        <v>211</v>
      </c>
      <c r="F222" s="181" t="s">
        <v>1040</v>
      </c>
      <c r="G222" s="182">
        <v>780540624290</v>
      </c>
      <c r="H222" s="183" t="s">
        <v>1041</v>
      </c>
      <c r="I222" s="184">
        <f>[1]Итог!D214</f>
        <v>20.059000000000001</v>
      </c>
      <c r="J222" s="185">
        <f>[1]Ведомость!D227</f>
        <v>10470</v>
      </c>
      <c r="K222" s="161">
        <f t="shared" si="4"/>
        <v>256221.6306</v>
      </c>
      <c r="L222" s="6"/>
      <c r="M222" s="162">
        <f>SUM(I218:I222)</f>
        <v>304.15100000000001</v>
      </c>
      <c r="O222" s="163">
        <f>SUM(O218:O221)</f>
        <v>304.15100000000001</v>
      </c>
      <c r="P222" s="80"/>
      <c r="Q222" s="164">
        <f>M222-O222</f>
        <v>0</v>
      </c>
    </row>
    <row r="223" spans="1:18">
      <c r="A223" s="1" t="s">
        <v>22</v>
      </c>
      <c r="B223" s="186" t="s">
        <v>1042</v>
      </c>
      <c r="C223" s="165" t="s">
        <v>1043</v>
      </c>
      <c r="D223" s="165" t="s">
        <v>1044</v>
      </c>
      <c r="E223" s="155">
        <f t="shared" si="0"/>
        <v>212</v>
      </c>
      <c r="F223" s="187" t="s">
        <v>1045</v>
      </c>
      <c r="G223" s="188" t="s">
        <v>1046</v>
      </c>
      <c r="H223" s="189" t="s">
        <v>1047</v>
      </c>
      <c r="I223" s="190">
        <f>[1]Итог!D178</f>
        <v>0.92100000000000004</v>
      </c>
      <c r="J223" s="191">
        <f>[1]Ведомость!I275*1000</f>
        <v>0</v>
      </c>
      <c r="K223" s="171">
        <f t="shared" si="4"/>
        <v>0</v>
      </c>
      <c r="L223" s="192" t="s">
        <v>1048</v>
      </c>
    </row>
    <row r="224" spans="1:18">
      <c r="B224" s="27" t="s">
        <v>1049</v>
      </c>
      <c r="C224" s="27" t="s">
        <v>1050</v>
      </c>
      <c r="D224" s="27" t="s">
        <v>1051</v>
      </c>
      <c r="E224" s="44">
        <f t="shared" si="0"/>
        <v>213</v>
      </c>
      <c r="F224" s="82" t="s">
        <v>1052</v>
      </c>
      <c r="G224" s="120" t="s">
        <v>1053</v>
      </c>
      <c r="H224" s="69" t="s">
        <v>1054</v>
      </c>
      <c r="I224" s="193">
        <f>[1]Итог!D24</f>
        <v>20.631</v>
      </c>
      <c r="J224" s="194">
        <f>[1]Ведомость!I277*1000</f>
        <v>0</v>
      </c>
      <c r="K224" s="34">
        <f t="shared" si="4"/>
        <v>0</v>
      </c>
      <c r="L224" s="192" t="s">
        <v>1055</v>
      </c>
    </row>
    <row r="225" spans="1:25">
      <c r="B225" s="27" t="s">
        <v>1056</v>
      </c>
      <c r="C225" s="27" t="s">
        <v>1057</v>
      </c>
      <c r="D225" s="27" t="s">
        <v>1058</v>
      </c>
      <c r="E225" s="155">
        <f t="shared" si="0"/>
        <v>214</v>
      </c>
      <c r="F225" s="82" t="s">
        <v>1052</v>
      </c>
      <c r="G225" s="68" t="s">
        <v>1053</v>
      </c>
      <c r="H225" s="69" t="s">
        <v>1059</v>
      </c>
      <c r="I225" s="195">
        <f>[1]Итог!D25</f>
        <v>62.631</v>
      </c>
      <c r="J225" s="194">
        <f>[1]Ведомость!I278*1000</f>
        <v>0</v>
      </c>
      <c r="K225" s="34">
        <f t="shared" si="4"/>
        <v>0</v>
      </c>
      <c r="L225" s="192" t="s">
        <v>1060</v>
      </c>
    </row>
    <row r="226" spans="1:25">
      <c r="B226" s="27" t="s">
        <v>1061</v>
      </c>
      <c r="C226" s="27" t="s">
        <v>1062</v>
      </c>
      <c r="D226" s="27"/>
      <c r="E226" s="44">
        <f t="shared" si="0"/>
        <v>215</v>
      </c>
      <c r="F226" s="82" t="s">
        <v>1017</v>
      </c>
      <c r="G226" s="120" t="s">
        <v>1018</v>
      </c>
      <c r="H226" s="196" t="s">
        <v>1063</v>
      </c>
      <c r="I226" s="195">
        <f>[1]Итог!D179</f>
        <v>2.1120000000000001</v>
      </c>
      <c r="J226" s="194">
        <f>[1]Ведомость!I282*1000</f>
        <v>0</v>
      </c>
      <c r="K226" s="34">
        <f t="shared" si="4"/>
        <v>0</v>
      </c>
      <c r="L226" s="192" t="s">
        <v>1064</v>
      </c>
    </row>
    <row r="227" spans="1:25">
      <c r="B227" s="27"/>
      <c r="C227" s="27" t="s">
        <v>1065</v>
      </c>
      <c r="D227" s="27"/>
      <c r="E227" s="44">
        <f t="shared" si="0"/>
        <v>216</v>
      </c>
      <c r="F227" s="82" t="s">
        <v>1017</v>
      </c>
      <c r="G227" s="120" t="s">
        <v>1018</v>
      </c>
      <c r="H227" s="196" t="s">
        <v>1066</v>
      </c>
      <c r="I227" s="195">
        <f>[1]Итог!D180</f>
        <v>2.1190000000000002</v>
      </c>
      <c r="J227" s="194">
        <f>[1]Ведомость!I283*1000</f>
        <v>0</v>
      </c>
      <c r="K227" s="34">
        <f t="shared" si="4"/>
        <v>0</v>
      </c>
      <c r="L227" s="192" t="s">
        <v>1064</v>
      </c>
    </row>
    <row r="228" spans="1:25">
      <c r="B228" s="27"/>
      <c r="C228" s="27"/>
      <c r="D228" s="27"/>
      <c r="E228" s="44">
        <f t="shared" si="0"/>
        <v>217</v>
      </c>
      <c r="F228" s="82" t="s">
        <v>1017</v>
      </c>
      <c r="G228" s="120" t="s">
        <v>1018</v>
      </c>
      <c r="H228" s="196" t="s">
        <v>1067</v>
      </c>
      <c r="I228" s="195">
        <f>[1]Итог!D181</f>
        <v>2.3519999999999999</v>
      </c>
      <c r="J228" s="194">
        <f>[1]Ведомость!I284*1000</f>
        <v>0</v>
      </c>
      <c r="K228" s="34">
        <f t="shared" si="4"/>
        <v>0</v>
      </c>
      <c r="L228" s="192" t="s">
        <v>1064</v>
      </c>
    </row>
    <row r="229" spans="1:25">
      <c r="B229" s="27" t="s">
        <v>1068</v>
      </c>
      <c r="C229" s="27" t="s">
        <v>1069</v>
      </c>
      <c r="D229" s="27"/>
      <c r="E229" s="44">
        <f t="shared" si="0"/>
        <v>218</v>
      </c>
      <c r="F229" s="197" t="s">
        <v>1070</v>
      </c>
      <c r="G229" s="174" t="s">
        <v>1071</v>
      </c>
      <c r="H229" s="149" t="s">
        <v>1072</v>
      </c>
      <c r="I229" s="195">
        <f>[1]Итог!D182</f>
        <v>4.4349999999999996</v>
      </c>
      <c r="J229" s="194">
        <f>[1]Ведомость!I280*1000</f>
        <v>0</v>
      </c>
      <c r="K229" s="34">
        <f t="shared" si="4"/>
        <v>0</v>
      </c>
      <c r="L229" s="192" t="s">
        <v>1048</v>
      </c>
      <c r="M229" t="s">
        <v>1073</v>
      </c>
    </row>
    <row r="230" spans="1:25">
      <c r="A230" s="1" t="s">
        <v>22</v>
      </c>
      <c r="B230" s="27" t="s">
        <v>1074</v>
      </c>
      <c r="C230" s="27"/>
      <c r="D230" s="27"/>
      <c r="E230" s="44">
        <f t="shared" si="0"/>
        <v>219</v>
      </c>
      <c r="F230" s="197" t="s">
        <v>1075</v>
      </c>
      <c r="G230" s="120" t="s">
        <v>1076</v>
      </c>
      <c r="H230" s="69" t="s">
        <v>1077</v>
      </c>
      <c r="I230" s="195">
        <f>[1]Итог!D184</f>
        <v>6.077</v>
      </c>
      <c r="J230" s="194">
        <f>[1]Ведомость!I281*1000</f>
        <v>0</v>
      </c>
      <c r="K230" s="34">
        <f t="shared" si="4"/>
        <v>0</v>
      </c>
      <c r="L230" s="192" t="s">
        <v>1048</v>
      </c>
    </row>
    <row r="231" spans="1:25">
      <c r="B231" s="27" t="s">
        <v>1078</v>
      </c>
      <c r="C231" s="27"/>
      <c r="D231" s="27"/>
      <c r="E231" s="44">
        <f t="shared" si="0"/>
        <v>220</v>
      </c>
      <c r="F231" s="197" t="s">
        <v>1079</v>
      </c>
      <c r="G231" s="120" t="s">
        <v>1080</v>
      </c>
      <c r="H231" s="69" t="s">
        <v>1081</v>
      </c>
      <c r="I231" s="195">
        <f>[1]Итог!D19</f>
        <v>300.74</v>
      </c>
      <c r="J231" s="194">
        <f>[1]Ведомость!I285*1000</f>
        <v>0</v>
      </c>
      <c r="K231" s="34">
        <f t="shared" si="4"/>
        <v>0</v>
      </c>
      <c r="L231" s="192" t="s">
        <v>1082</v>
      </c>
      <c r="R231" s="198"/>
      <c r="S231" s="198"/>
      <c r="T231" s="198"/>
      <c r="U231" s="198"/>
      <c r="V231" s="198"/>
      <c r="W231" s="198"/>
      <c r="X231" s="198"/>
      <c r="Y231" s="198"/>
    </row>
    <row r="232" spans="1:25" ht="38.25">
      <c r="B232" s="27"/>
      <c r="C232" s="27"/>
      <c r="D232" s="27"/>
      <c r="E232" s="44">
        <f t="shared" si="0"/>
        <v>221</v>
      </c>
      <c r="F232" s="197"/>
      <c r="G232" s="120"/>
      <c r="H232" s="196" t="s">
        <v>1083</v>
      </c>
      <c r="I232" s="195">
        <f>[1]Итог!D16</f>
        <v>1.53</v>
      </c>
      <c r="J232" s="199" t="s">
        <v>1084</v>
      </c>
      <c r="K232" s="34"/>
      <c r="L232" s="198"/>
      <c r="R232" s="198"/>
      <c r="S232" s="198"/>
      <c r="T232" s="198"/>
      <c r="U232" s="198"/>
      <c r="W232" s="198"/>
      <c r="X232" s="198"/>
      <c r="Y232" s="198"/>
    </row>
    <row r="233" spans="1:25" ht="13.5" thickBot="1">
      <c r="B233" s="27" t="s">
        <v>1085</v>
      </c>
      <c r="C233" s="27"/>
      <c r="D233" s="27"/>
      <c r="E233" s="200">
        <f t="shared" si="0"/>
        <v>222</v>
      </c>
      <c r="F233" s="201" t="s">
        <v>1086</v>
      </c>
      <c r="G233" s="202" t="s">
        <v>1087</v>
      </c>
      <c r="H233" s="203" t="s">
        <v>1088</v>
      </c>
      <c r="I233" s="204">
        <f>[1]Итог!D28</f>
        <v>32.558999999999997</v>
      </c>
      <c r="J233" s="160">
        <f>[1]Ведомость!I286*1000</f>
        <v>0</v>
      </c>
      <c r="K233" s="34">
        <f t="shared" si="4"/>
        <v>0</v>
      </c>
      <c r="L233" s="192" t="s">
        <v>1089</v>
      </c>
      <c r="M233" s="205">
        <f>ROUND(SUM(I223:I233),3)</f>
        <v>436.10700000000003</v>
      </c>
      <c r="N233" s="206"/>
      <c r="P233" s="207"/>
      <c r="R233" s="198"/>
      <c r="S233" s="198"/>
      <c r="T233" s="198"/>
      <c r="U233" s="198"/>
      <c r="W233" s="198"/>
      <c r="X233" s="198"/>
      <c r="Y233" s="198"/>
    </row>
    <row r="234" spans="1:25" ht="15">
      <c r="B234" s="71"/>
      <c r="C234" s="71"/>
      <c r="D234" s="71"/>
      <c r="E234" s="155"/>
      <c r="F234" s="197"/>
      <c r="G234" s="208"/>
      <c r="H234" s="209" t="s">
        <v>1090</v>
      </c>
      <c r="I234" s="193">
        <f>M236</f>
        <v>10534.446000000002</v>
      </c>
      <c r="J234" s="170"/>
      <c r="K234" s="34"/>
      <c r="L234" s="192"/>
      <c r="M234" s="206"/>
      <c r="N234" s="206"/>
      <c r="P234" s="207"/>
      <c r="Q234" s="206"/>
      <c r="R234" s="198"/>
      <c r="S234" s="198"/>
      <c r="T234" s="198"/>
      <c r="U234" s="198"/>
      <c r="W234" s="198"/>
      <c r="X234" s="198"/>
      <c r="Y234" s="198"/>
    </row>
    <row r="235" spans="1:25" ht="15">
      <c r="B235" s="71"/>
      <c r="C235" s="71"/>
      <c r="D235" s="71"/>
      <c r="E235" s="44"/>
      <c r="F235" s="82"/>
      <c r="G235" s="68"/>
      <c r="H235" s="209" t="s">
        <v>1091</v>
      </c>
      <c r="I235" s="195">
        <f>I236+I237</f>
        <v>10534.446</v>
      </c>
      <c r="J235" s="33"/>
      <c r="K235" s="34"/>
      <c r="L235" s="192"/>
      <c r="M235" s="206" t="s">
        <v>1092</v>
      </c>
      <c r="N235" s="206"/>
      <c r="O235" t="s">
        <v>1093</v>
      </c>
      <c r="P235" s="207"/>
      <c r="Q235" s="206"/>
      <c r="R235" s="198"/>
      <c r="S235" s="198"/>
      <c r="T235" s="198"/>
      <c r="U235" s="198"/>
      <c r="W235" s="198"/>
      <c r="X235" s="198"/>
      <c r="Y235" s="198"/>
    </row>
    <row r="236" spans="1:25">
      <c r="B236" s="71"/>
      <c r="C236" s="71"/>
      <c r="D236" s="71"/>
      <c r="E236" s="44"/>
      <c r="F236" s="82"/>
      <c r="G236" s="68"/>
      <c r="H236" s="210" t="s">
        <v>1094</v>
      </c>
      <c r="I236" s="211">
        <f>[1]Итог!C239/1000</f>
        <v>4549.33</v>
      </c>
      <c r="J236" s="33"/>
      <c r="K236" s="34"/>
      <c r="L236" s="192"/>
      <c r="M236" s="206">
        <f>M217+M222+M233</f>
        <v>10534.446000000002</v>
      </c>
      <c r="N236" s="206"/>
      <c r="O236" s="212">
        <f>O217+O222</f>
        <v>10098.339000000005</v>
      </c>
      <c r="P236" s="207"/>
      <c r="Q236" s="213">
        <f>O236-M236</f>
        <v>-436.10699999999633</v>
      </c>
      <c r="R236" s="198"/>
      <c r="S236" s="198"/>
      <c r="T236" s="198"/>
      <c r="U236" s="198"/>
      <c r="W236" s="198"/>
      <c r="X236" s="198"/>
      <c r="Y236" s="198"/>
    </row>
    <row r="237" spans="1:25" ht="23.25" customHeight="1">
      <c r="B237" s="71"/>
      <c r="C237" s="71"/>
      <c r="D237" s="71"/>
      <c r="E237" s="44"/>
      <c r="F237" s="82"/>
      <c r="G237" s="68"/>
      <c r="H237" s="210" t="s">
        <v>1095</v>
      </c>
      <c r="I237" s="211">
        <f>[1]Итог!C241/1000</f>
        <v>5985.116</v>
      </c>
      <c r="J237" s="33"/>
      <c r="K237" s="34"/>
      <c r="L237" s="192"/>
      <c r="M237" s="206">
        <v>10534.302</v>
      </c>
      <c r="N237" s="206"/>
      <c r="O237" s="214">
        <f>M222+M217</f>
        <v>10098.339000000002</v>
      </c>
      <c r="P237" s="207"/>
      <c r="Q237" s="206"/>
      <c r="R237" s="198"/>
      <c r="S237" s="198"/>
      <c r="T237" s="198"/>
      <c r="U237" s="198"/>
      <c r="W237" s="198"/>
      <c r="X237" s="198"/>
      <c r="Y237" s="198"/>
    </row>
    <row r="238" spans="1:25">
      <c r="B238" s="71"/>
      <c r="C238" s="71"/>
      <c r="D238" s="71"/>
      <c r="E238" s="215"/>
      <c r="F238" s="216"/>
      <c r="G238" s="217"/>
      <c r="H238" s="218"/>
      <c r="I238" s="219"/>
      <c r="J238" s="220"/>
      <c r="K238" s="221"/>
      <c r="L238" s="192"/>
      <c r="M238" s="206">
        <f>M237-M236</f>
        <v>-0.14400000000205182</v>
      </c>
      <c r="N238" s="206"/>
      <c r="P238" s="207"/>
      <c r="Q238" s="206"/>
      <c r="R238" s="198"/>
      <c r="S238" s="198"/>
      <c r="T238" s="198"/>
      <c r="U238" s="198"/>
      <c r="W238" s="198"/>
      <c r="X238" s="198"/>
      <c r="Y238" s="198"/>
    </row>
    <row r="239" spans="1:25">
      <c r="H239" s="222"/>
      <c r="I239" s="223"/>
      <c r="J239" s="8"/>
      <c r="K239" s="8"/>
      <c r="M239" s="224" t="s">
        <v>1096</v>
      </c>
      <c r="N239" s="224"/>
      <c r="O239" s="6">
        <f>O236-O237</f>
        <v>0</v>
      </c>
      <c r="P239" s="225"/>
      <c r="Q239" s="8"/>
      <c r="R239" s="198"/>
      <c r="S239" s="198"/>
      <c r="T239" s="198"/>
      <c r="U239" s="198"/>
      <c r="V239" s="198"/>
      <c r="W239" s="198"/>
      <c r="X239" s="198"/>
      <c r="Y239" s="198"/>
    </row>
    <row r="240" spans="1:25" ht="15">
      <c r="F240" s="8" t="s">
        <v>1097</v>
      </c>
      <c r="I240" s="9"/>
      <c r="J240" s="101"/>
      <c r="K240" s="101"/>
      <c r="L240" s="101"/>
      <c r="M240" s="101">
        <f>[1]Итог!D245</f>
        <v>10534.446</v>
      </c>
      <c r="N240" s="8"/>
      <c r="P240" s="226"/>
      <c r="Q240" s="8"/>
      <c r="R240" s="198"/>
      <c r="S240" s="198"/>
      <c r="T240" s="198"/>
      <c r="U240" s="198"/>
      <c r="V240" s="198"/>
      <c r="W240" s="198"/>
      <c r="X240" s="198"/>
      <c r="Y240" s="198"/>
    </row>
    <row r="241" spans="1:25" ht="15">
      <c r="F241" s="8" t="s">
        <v>1098</v>
      </c>
      <c r="H241"/>
      <c r="I241" s="223" t="s">
        <v>1099</v>
      </c>
      <c r="J241" s="227"/>
      <c r="K241" s="101"/>
      <c r="L241" s="101"/>
      <c r="M241" s="101">
        <f>M236-M240</f>
        <v>0</v>
      </c>
      <c r="N241" s="8"/>
      <c r="O241" s="8"/>
      <c r="P241" s="8"/>
      <c r="Q241" s="8"/>
      <c r="R241" s="198"/>
      <c r="S241" s="198"/>
      <c r="T241" s="198"/>
      <c r="U241" s="198"/>
      <c r="V241" s="198"/>
      <c r="W241" s="198"/>
      <c r="X241" s="198"/>
      <c r="Y241" s="198"/>
    </row>
    <row r="242" spans="1:25" ht="15">
      <c r="F242" s="8" t="s">
        <v>1100</v>
      </c>
      <c r="G242" s="8"/>
      <c r="H242" s="222"/>
      <c r="I242" s="9"/>
      <c r="J242" s="8"/>
      <c r="K242" s="8"/>
      <c r="L242" s="8">
        <v>1.53</v>
      </c>
      <c r="M242" s="8"/>
      <c r="N242" s="8"/>
      <c r="O242" s="8"/>
      <c r="P242" s="8"/>
      <c r="Q242" s="8"/>
      <c r="R242" s="8"/>
    </row>
    <row r="243" spans="1:25">
      <c r="F243" s="8" t="s">
        <v>1101</v>
      </c>
      <c r="G243" s="8"/>
      <c r="H243" s="222"/>
      <c r="I243" s="223" t="s">
        <v>1102</v>
      </c>
      <c r="J243" s="228"/>
      <c r="K243" s="8"/>
      <c r="L243" s="8"/>
      <c r="M243" s="8"/>
      <c r="N243" s="8"/>
      <c r="O243" s="8"/>
      <c r="P243" s="8"/>
      <c r="Q243" s="8"/>
      <c r="R243" s="8"/>
    </row>
    <row r="244" spans="1:25">
      <c r="K244" s="8"/>
      <c r="L244" s="8"/>
      <c r="M244" s="8"/>
      <c r="N244" s="8"/>
      <c r="O244" s="8"/>
      <c r="P244" s="8"/>
      <c r="Q244" s="8"/>
      <c r="R244" s="8"/>
    </row>
    <row r="245" spans="1:25" ht="15">
      <c r="I245" s="9"/>
      <c r="J245" s="8"/>
      <c r="K245" s="8"/>
      <c r="L245" s="8"/>
      <c r="M245" s="8"/>
      <c r="N245" s="8"/>
      <c r="O245" s="8"/>
      <c r="P245" s="8"/>
      <c r="Q245" s="8"/>
      <c r="R245" s="8"/>
    </row>
    <row r="246" spans="1:25" ht="15">
      <c r="A246" s="51" t="s">
        <v>22</v>
      </c>
      <c r="B246" s="229" t="s">
        <v>1103</v>
      </c>
      <c r="C246" s="229"/>
      <c r="D246" s="230"/>
      <c r="H246" s="231" t="s">
        <v>1104</v>
      </c>
      <c r="I246" s="9"/>
      <c r="J246" s="8"/>
      <c r="K246" s="8"/>
      <c r="L246" s="8"/>
      <c r="M246" s="8"/>
      <c r="N246" s="8"/>
      <c r="O246" s="8"/>
      <c r="P246" s="8"/>
      <c r="Q246" s="8"/>
      <c r="R246" s="8"/>
    </row>
    <row r="247" spans="1:25">
      <c r="A247" s="232" t="s">
        <v>22</v>
      </c>
      <c r="B247" s="229" t="s">
        <v>1105</v>
      </c>
      <c r="C247" s="229"/>
      <c r="D247" s="230"/>
      <c r="H247" s="233" t="s">
        <v>1106</v>
      </c>
      <c r="I247" s="223"/>
      <c r="J247" s="8"/>
      <c r="K247" s="8"/>
      <c r="L247" s="8"/>
      <c r="M247" s="8"/>
      <c r="N247" s="8"/>
      <c r="O247" s="8"/>
      <c r="P247" s="8"/>
      <c r="Q247" s="8"/>
      <c r="R247" s="8"/>
    </row>
    <row r="248" spans="1:25">
      <c r="A248" s="232" t="s">
        <v>22</v>
      </c>
      <c r="B248" s="234" t="s">
        <v>1107</v>
      </c>
      <c r="C248" s="229"/>
      <c r="D248" s="230"/>
      <c r="H248" s="233" t="s">
        <v>1108</v>
      </c>
      <c r="I248" s="223"/>
      <c r="J248" s="8"/>
      <c r="K248" s="8"/>
      <c r="L248" s="8"/>
      <c r="M248" s="8"/>
      <c r="N248" s="8"/>
      <c r="O248" s="8"/>
      <c r="P248" s="8"/>
      <c r="Q248" s="8"/>
      <c r="R248" s="8"/>
    </row>
    <row r="249" spans="1:25">
      <c r="A249" s="51"/>
      <c r="B249" s="229"/>
      <c r="C249" s="229"/>
      <c r="D249" s="230"/>
      <c r="H249" s="233" t="s">
        <v>1109</v>
      </c>
      <c r="I249" s="223"/>
      <c r="J249" s="8"/>
      <c r="K249" s="8"/>
      <c r="L249" s="8"/>
      <c r="M249" s="8"/>
      <c r="N249" s="8"/>
      <c r="O249" s="8"/>
      <c r="P249" s="8"/>
      <c r="Q249" s="8"/>
      <c r="R249" s="8"/>
    </row>
    <row r="250" spans="1:25">
      <c r="A250" s="1" t="s">
        <v>22</v>
      </c>
      <c r="B250" s="27" t="s">
        <v>1110</v>
      </c>
      <c r="C250" s="27" t="s">
        <v>1111</v>
      </c>
      <c r="D250" s="27"/>
      <c r="E250" s="235">
        <f t="shared" si="0"/>
        <v>239</v>
      </c>
      <c r="F250" s="236" t="s">
        <v>1112</v>
      </c>
      <c r="G250" s="237" t="s">
        <v>1113</v>
      </c>
      <c r="H250" s="238" t="s">
        <v>1114</v>
      </c>
      <c r="I250" s="239"/>
      <c r="J250" s="240"/>
      <c r="K250" s="241"/>
      <c r="M250" s="10"/>
      <c r="O250" s="10"/>
      <c r="P250" s="16"/>
      <c r="Q250" s="17"/>
      <c r="R250" s="17"/>
    </row>
    <row r="251" spans="1:25">
      <c r="B251" s="27" t="s">
        <v>1115</v>
      </c>
      <c r="C251" s="27" t="s">
        <v>1116</v>
      </c>
      <c r="D251" s="27"/>
      <c r="E251" s="235">
        <f t="shared" si="0"/>
        <v>240</v>
      </c>
      <c r="F251" s="236" t="s">
        <v>1117</v>
      </c>
      <c r="G251" s="242" t="s">
        <v>1118</v>
      </c>
      <c r="H251" s="238" t="s">
        <v>1119</v>
      </c>
      <c r="I251" s="239"/>
      <c r="J251" s="240"/>
      <c r="K251" s="241"/>
      <c r="M251" s="10"/>
      <c r="O251" s="10"/>
      <c r="P251" s="16"/>
      <c r="Q251" s="17"/>
      <c r="R251" s="17"/>
      <c r="S251" s="5"/>
    </row>
    <row r="252" spans="1:25">
      <c r="A252" s="1" t="s">
        <v>22</v>
      </c>
      <c r="B252" s="27" t="s">
        <v>1120</v>
      </c>
      <c r="C252" s="27" t="s">
        <v>1121</v>
      </c>
      <c r="D252" s="27" t="s">
        <v>1122</v>
      </c>
      <c r="E252" s="235">
        <f t="shared" si="0"/>
        <v>241</v>
      </c>
      <c r="F252" s="236" t="s">
        <v>1123</v>
      </c>
      <c r="G252" s="242" t="s">
        <v>1124</v>
      </c>
      <c r="H252" s="238" t="s">
        <v>1125</v>
      </c>
      <c r="I252" s="239"/>
      <c r="J252" s="240"/>
      <c r="K252" s="241"/>
      <c r="M252" s="10"/>
      <c r="O252" s="10"/>
      <c r="P252" s="16"/>
      <c r="Q252" s="17"/>
      <c r="R252" s="17"/>
      <c r="S252" s="5"/>
    </row>
    <row r="253" spans="1:25">
      <c r="B253" s="66" t="s">
        <v>1126</v>
      </c>
      <c r="C253" s="46" t="s">
        <v>1127</v>
      </c>
      <c r="D253" s="27"/>
      <c r="E253" s="235">
        <f t="shared" ref="E253:E272" si="5">ROW()-11</f>
        <v>242</v>
      </c>
      <c r="F253" s="236" t="s">
        <v>1128</v>
      </c>
      <c r="G253" s="242" t="s">
        <v>1129</v>
      </c>
      <c r="H253" s="238" t="s">
        <v>1130</v>
      </c>
      <c r="I253" s="239"/>
      <c r="J253" s="240"/>
      <c r="K253" s="241"/>
      <c r="M253" s="10"/>
      <c r="O253" s="10"/>
      <c r="P253" s="16"/>
      <c r="Q253" s="17"/>
      <c r="R253" s="17"/>
      <c r="S253" s="5"/>
    </row>
    <row r="254" spans="1:25" ht="22.5" customHeight="1">
      <c r="A254" s="1" t="s">
        <v>22</v>
      </c>
      <c r="B254" s="243" t="s">
        <v>1131</v>
      </c>
      <c r="C254" s="27" t="s">
        <v>1132</v>
      </c>
      <c r="D254" s="27"/>
      <c r="E254" s="235">
        <f t="shared" si="5"/>
        <v>243</v>
      </c>
      <c r="F254" s="244" t="s">
        <v>1133</v>
      </c>
      <c r="G254" s="245" t="s">
        <v>1134</v>
      </c>
      <c r="H254" s="246" t="s">
        <v>1135</v>
      </c>
      <c r="I254" s="247"/>
      <c r="J254" s="248"/>
      <c r="K254" s="249"/>
      <c r="M254" s="10"/>
      <c r="O254" s="10"/>
      <c r="P254" s="16"/>
      <c r="Q254" s="17"/>
      <c r="R254" s="17"/>
      <c r="S254" s="5"/>
    </row>
    <row r="255" spans="1:25">
      <c r="A255" s="1" t="s">
        <v>22</v>
      </c>
      <c r="B255" s="27" t="s">
        <v>1136</v>
      </c>
      <c r="C255" s="27"/>
      <c r="D255" s="27"/>
      <c r="E255" s="235">
        <f t="shared" si="5"/>
        <v>244</v>
      </c>
      <c r="F255" s="236" t="s">
        <v>1137</v>
      </c>
      <c r="G255" s="242" t="s">
        <v>1138</v>
      </c>
      <c r="H255" s="238" t="s">
        <v>1139</v>
      </c>
      <c r="I255" s="239"/>
      <c r="J255" s="240"/>
      <c r="K255" s="241"/>
      <c r="M255" s="10"/>
      <c r="O255" s="10"/>
      <c r="P255" s="16"/>
      <c r="Q255" s="17"/>
      <c r="R255" s="17"/>
    </row>
    <row r="256" spans="1:25">
      <c r="A256" s="250" t="s">
        <v>22</v>
      </c>
      <c r="B256" s="251" t="s">
        <v>1140</v>
      </c>
      <c r="C256" s="251" t="s">
        <v>1141</v>
      </c>
      <c r="D256" s="251" t="s">
        <v>1142</v>
      </c>
      <c r="E256" s="235">
        <f t="shared" si="5"/>
        <v>245</v>
      </c>
      <c r="F256" s="236" t="s">
        <v>1143</v>
      </c>
      <c r="G256" s="242" t="s">
        <v>1144</v>
      </c>
      <c r="H256" s="238" t="s">
        <v>1145</v>
      </c>
      <c r="I256" s="239"/>
      <c r="J256" s="240"/>
      <c r="K256" s="241"/>
      <c r="M256" s="10"/>
      <c r="O256" s="10"/>
      <c r="P256" s="16"/>
      <c r="Q256" s="17"/>
      <c r="R256" s="17"/>
    </row>
    <row r="257" spans="1:19">
      <c r="A257" s="1" t="s">
        <v>22</v>
      </c>
      <c r="B257" s="27" t="s">
        <v>1146</v>
      </c>
      <c r="C257" s="27" t="s">
        <v>1147</v>
      </c>
      <c r="D257" s="27"/>
      <c r="E257" s="235">
        <f t="shared" si="5"/>
        <v>246</v>
      </c>
      <c r="F257" s="236" t="s">
        <v>1148</v>
      </c>
      <c r="G257" s="242" t="s">
        <v>1149</v>
      </c>
      <c r="H257" s="238" t="s">
        <v>1150</v>
      </c>
      <c r="I257" s="239"/>
      <c r="J257" s="240"/>
      <c r="K257" s="241"/>
      <c r="M257" s="10"/>
      <c r="O257" s="10"/>
      <c r="P257" s="16"/>
      <c r="Q257" s="17"/>
      <c r="R257" s="17"/>
      <c r="S257" s="5"/>
    </row>
    <row r="258" spans="1:19">
      <c r="A258" s="1" t="s">
        <v>22</v>
      </c>
      <c r="B258" s="27" t="s">
        <v>1151</v>
      </c>
      <c r="C258" s="27" t="s">
        <v>1152</v>
      </c>
      <c r="D258" s="27" t="s">
        <v>1153</v>
      </c>
      <c r="E258" s="235">
        <f t="shared" si="5"/>
        <v>247</v>
      </c>
      <c r="F258" s="236" t="s">
        <v>1154</v>
      </c>
      <c r="G258" s="242" t="s">
        <v>1155</v>
      </c>
      <c r="H258" s="238" t="s">
        <v>1156</v>
      </c>
      <c r="I258" s="239"/>
      <c r="J258" s="240"/>
      <c r="K258" s="241"/>
      <c r="M258" s="10"/>
      <c r="O258" s="10"/>
      <c r="P258" s="16"/>
      <c r="Q258" s="17"/>
      <c r="R258" s="17"/>
      <c r="S258" s="5"/>
    </row>
    <row r="259" spans="1:19">
      <c r="A259" s="250"/>
      <c r="B259" s="251" t="s">
        <v>1157</v>
      </c>
      <c r="C259" s="252" t="s">
        <v>1158</v>
      </c>
      <c r="D259" s="251" t="s">
        <v>1159</v>
      </c>
      <c r="E259" s="235">
        <f t="shared" si="5"/>
        <v>248</v>
      </c>
      <c r="F259" s="253" t="s">
        <v>1160</v>
      </c>
      <c r="G259" s="254" t="s">
        <v>1161</v>
      </c>
      <c r="H259" s="255" t="s">
        <v>1162</v>
      </c>
      <c r="I259" s="239"/>
      <c r="J259" s="240"/>
      <c r="K259" s="241"/>
      <c r="L259" s="42"/>
      <c r="M259" s="10"/>
      <c r="O259" s="10"/>
      <c r="P259" s="37"/>
      <c r="Q259" s="17"/>
      <c r="R259" s="17"/>
    </row>
    <row r="260" spans="1:19">
      <c r="A260" s="250" t="s">
        <v>22</v>
      </c>
      <c r="B260" s="251" t="s">
        <v>1163</v>
      </c>
      <c r="C260" s="251" t="s">
        <v>1164</v>
      </c>
      <c r="D260" s="251"/>
      <c r="E260" s="235">
        <f t="shared" si="5"/>
        <v>249</v>
      </c>
      <c r="F260" s="236" t="s">
        <v>1165</v>
      </c>
      <c r="G260" s="242" t="s">
        <v>1166</v>
      </c>
      <c r="H260" s="238" t="s">
        <v>1167</v>
      </c>
      <c r="I260" s="239"/>
      <c r="J260" s="240"/>
      <c r="K260" s="241"/>
      <c r="M260" s="10"/>
      <c r="O260" s="10"/>
      <c r="P260" s="16"/>
      <c r="Q260" s="17"/>
      <c r="R260" s="17"/>
    </row>
    <row r="261" spans="1:19">
      <c r="B261" s="27" t="s">
        <v>1168</v>
      </c>
      <c r="C261" s="27" t="s">
        <v>1169</v>
      </c>
      <c r="D261" s="27"/>
      <c r="E261" s="235">
        <f t="shared" si="5"/>
        <v>250</v>
      </c>
      <c r="F261" s="236" t="s">
        <v>1170</v>
      </c>
      <c r="G261" s="242" t="s">
        <v>1171</v>
      </c>
      <c r="H261" s="238" t="s">
        <v>1172</v>
      </c>
      <c r="I261" s="239"/>
      <c r="J261" s="240"/>
      <c r="K261" s="241"/>
      <c r="M261" s="10"/>
      <c r="O261" s="10"/>
      <c r="P261" s="16"/>
      <c r="Q261" s="17"/>
      <c r="R261" s="17"/>
      <c r="S261" s="5"/>
    </row>
    <row r="262" spans="1:19" ht="33.75">
      <c r="A262" s="1" t="s">
        <v>22</v>
      </c>
      <c r="B262" s="27" t="s">
        <v>1173</v>
      </c>
      <c r="C262" s="72" t="s">
        <v>1174</v>
      </c>
      <c r="D262" s="27" t="s">
        <v>1175</v>
      </c>
      <c r="E262" s="235">
        <f t="shared" si="5"/>
        <v>251</v>
      </c>
      <c r="F262" s="236" t="s">
        <v>1176</v>
      </c>
      <c r="G262" s="242" t="s">
        <v>1177</v>
      </c>
      <c r="H262" s="238" t="s">
        <v>1178</v>
      </c>
      <c r="I262" s="239"/>
      <c r="J262" s="240"/>
      <c r="K262" s="241"/>
      <c r="M262" s="10"/>
      <c r="O262" s="10"/>
      <c r="P262" s="16"/>
      <c r="Q262" s="17"/>
      <c r="R262" s="17"/>
    </row>
    <row r="263" spans="1:19">
      <c r="B263" s="27" t="s">
        <v>1179</v>
      </c>
      <c r="C263" s="27" t="s">
        <v>1180</v>
      </c>
      <c r="D263" s="27"/>
      <c r="E263" s="235">
        <f t="shared" si="5"/>
        <v>252</v>
      </c>
      <c r="F263" s="236" t="s">
        <v>1181</v>
      </c>
      <c r="G263" s="242" t="s">
        <v>1182</v>
      </c>
      <c r="H263" s="238" t="s">
        <v>1183</v>
      </c>
      <c r="I263" s="239"/>
      <c r="J263" s="240"/>
      <c r="K263" s="241"/>
      <c r="M263" s="10"/>
      <c r="O263" s="10"/>
      <c r="P263" s="16"/>
      <c r="Q263" s="7"/>
      <c r="R263" s="17"/>
      <c r="S263" s="5"/>
    </row>
    <row r="264" spans="1:19">
      <c r="A264" s="250"/>
      <c r="B264" s="251" t="s">
        <v>1184</v>
      </c>
      <c r="C264" s="256" t="s">
        <v>1185</v>
      </c>
      <c r="D264" s="251"/>
      <c r="E264" s="235">
        <f t="shared" si="5"/>
        <v>253</v>
      </c>
      <c r="F264" s="236" t="s">
        <v>1186</v>
      </c>
      <c r="G264" s="242" t="s">
        <v>1187</v>
      </c>
      <c r="H264" s="238" t="s">
        <v>1188</v>
      </c>
      <c r="I264" s="239"/>
      <c r="J264" s="240"/>
      <c r="K264" s="241"/>
      <c r="L264" s="6"/>
      <c r="M264" s="10"/>
      <c r="N264" s="109"/>
      <c r="O264" s="10"/>
      <c r="R264" s="17"/>
      <c r="S264" s="5"/>
    </row>
    <row r="265" spans="1:19">
      <c r="B265" s="27" t="s">
        <v>1189</v>
      </c>
      <c r="C265" s="27" t="s">
        <v>1190</v>
      </c>
      <c r="D265" s="27"/>
      <c r="E265" s="235">
        <f t="shared" si="5"/>
        <v>254</v>
      </c>
      <c r="F265" s="236" t="s">
        <v>1191</v>
      </c>
      <c r="G265" s="257" t="s">
        <v>1192</v>
      </c>
      <c r="H265" s="238" t="s">
        <v>1193</v>
      </c>
      <c r="I265" s="239"/>
      <c r="J265" s="240"/>
      <c r="K265" s="241"/>
      <c r="L265" s="6"/>
      <c r="M265" s="10"/>
      <c r="N265" s="109"/>
      <c r="O265" s="10"/>
      <c r="P265" s="258"/>
      <c r="R265" s="17"/>
    </row>
    <row r="266" spans="1:19">
      <c r="A266" s="79" t="s">
        <v>22</v>
      </c>
      <c r="B266" s="27" t="s">
        <v>1194</v>
      </c>
      <c r="C266" s="27" t="s">
        <v>1195</v>
      </c>
      <c r="D266" s="27" t="s">
        <v>1196</v>
      </c>
      <c r="E266" s="235">
        <f t="shared" si="5"/>
        <v>255</v>
      </c>
      <c r="F266" s="236" t="s">
        <v>1197</v>
      </c>
      <c r="G266" s="257" t="s">
        <v>1198</v>
      </c>
      <c r="H266" s="238" t="s">
        <v>1199</v>
      </c>
      <c r="I266" s="239"/>
      <c r="J266" s="240"/>
      <c r="K266" s="241"/>
      <c r="L266" s="6"/>
      <c r="M266" s="10"/>
      <c r="N266" s="109"/>
      <c r="O266" s="10"/>
      <c r="R266" s="17"/>
      <c r="S266" s="5"/>
    </row>
    <row r="267" spans="1:19">
      <c r="A267" s="1" t="s">
        <v>22</v>
      </c>
      <c r="B267" s="27" t="s">
        <v>1200</v>
      </c>
      <c r="C267" s="27"/>
      <c r="D267" s="27" t="s">
        <v>1201</v>
      </c>
      <c r="E267" s="235">
        <f t="shared" si="5"/>
        <v>256</v>
      </c>
      <c r="F267" s="236" t="s">
        <v>1202</v>
      </c>
      <c r="G267" s="242" t="s">
        <v>1203</v>
      </c>
      <c r="H267" s="238" t="s">
        <v>1204</v>
      </c>
      <c r="I267" s="239"/>
      <c r="J267" s="240"/>
      <c r="K267" s="241"/>
      <c r="L267" s="6"/>
      <c r="M267" s="10"/>
      <c r="N267" s="109"/>
      <c r="O267" s="10"/>
      <c r="R267" s="17"/>
    </row>
    <row r="268" spans="1:19">
      <c r="B268" s="72" t="s">
        <v>1205</v>
      </c>
      <c r="C268" s="46" t="s">
        <v>803</v>
      </c>
      <c r="D268" s="27"/>
      <c r="E268" s="235">
        <f t="shared" si="5"/>
        <v>257</v>
      </c>
      <c r="F268" s="236" t="s">
        <v>1206</v>
      </c>
      <c r="G268" s="242" t="s">
        <v>1207</v>
      </c>
      <c r="H268" s="238" t="s">
        <v>1208</v>
      </c>
      <c r="I268" s="239"/>
      <c r="J268" s="240"/>
      <c r="K268" s="241"/>
      <c r="L268" s="6"/>
      <c r="M268" s="10"/>
      <c r="N268" s="109"/>
      <c r="O268" s="10"/>
      <c r="R268" s="17"/>
    </row>
    <row r="269" spans="1:19">
      <c r="B269" s="27" t="s">
        <v>1209</v>
      </c>
      <c r="C269" s="27" t="s">
        <v>1210</v>
      </c>
      <c r="D269" s="27"/>
      <c r="E269" s="235">
        <f t="shared" si="5"/>
        <v>258</v>
      </c>
      <c r="F269" s="259" t="s">
        <v>1211</v>
      </c>
      <c r="G269" s="254" t="s">
        <v>1212</v>
      </c>
      <c r="H269" s="260" t="s">
        <v>1213</v>
      </c>
      <c r="I269" s="239"/>
      <c r="J269" s="240"/>
      <c r="K269" s="241"/>
      <c r="L269" s="6"/>
      <c r="M269" s="10"/>
      <c r="N269" s="109"/>
      <c r="O269" s="10"/>
      <c r="R269" s="17"/>
    </row>
    <row r="270" spans="1:19">
      <c r="A270" s="1" t="s">
        <v>22</v>
      </c>
      <c r="B270" s="27" t="s">
        <v>1214</v>
      </c>
      <c r="C270" s="27" t="s">
        <v>1215</v>
      </c>
      <c r="D270" s="27" t="s">
        <v>1216</v>
      </c>
      <c r="E270" s="235">
        <f t="shared" si="5"/>
        <v>259</v>
      </c>
      <c r="F270" s="261" t="s">
        <v>1217</v>
      </c>
      <c r="G270" s="237" t="s">
        <v>1218</v>
      </c>
      <c r="H270" s="262" t="s">
        <v>1219</v>
      </c>
      <c r="I270" s="263"/>
      <c r="J270" s="240"/>
      <c r="K270" s="241"/>
      <c r="L270" s="6"/>
      <c r="M270" s="10"/>
      <c r="N270" s="109"/>
      <c r="O270" s="10"/>
      <c r="R270" s="17"/>
      <c r="S270" s="5"/>
    </row>
    <row r="271" spans="1:19">
      <c r="B271" s="27" t="s">
        <v>1220</v>
      </c>
      <c r="C271" s="27" t="s">
        <v>1221</v>
      </c>
      <c r="D271" s="27"/>
      <c r="E271" s="235">
        <f t="shared" si="5"/>
        <v>260</v>
      </c>
      <c r="F271" s="261" t="s">
        <v>1222</v>
      </c>
      <c r="G271" s="237" t="s">
        <v>1223</v>
      </c>
      <c r="H271" s="262" t="s">
        <v>1224</v>
      </c>
      <c r="I271" s="263"/>
      <c r="J271" s="240"/>
      <c r="K271" s="241"/>
      <c r="L271" s="6"/>
      <c r="M271" s="10"/>
      <c r="N271" s="109"/>
      <c r="O271" s="10"/>
      <c r="R271" s="17"/>
      <c r="S271" s="5"/>
    </row>
    <row r="272" spans="1:19">
      <c r="A272" s="178"/>
      <c r="B272" s="264" t="s">
        <v>1225</v>
      </c>
      <c r="C272" s="140" t="s">
        <v>1226</v>
      </c>
      <c r="D272" s="140" t="s">
        <v>1227</v>
      </c>
      <c r="E272" s="235">
        <f t="shared" si="5"/>
        <v>261</v>
      </c>
      <c r="F272" s="265" t="s">
        <v>1228</v>
      </c>
      <c r="G272" s="266">
        <v>772272674155</v>
      </c>
      <c r="H272" s="267" t="s">
        <v>1229</v>
      </c>
      <c r="I272" s="263"/>
      <c r="J272" s="268"/>
      <c r="K272" s="241"/>
      <c r="L272" s="6"/>
      <c r="O272" s="10"/>
      <c r="P272" s="80"/>
      <c r="Q272" s="5"/>
    </row>
    <row r="273" spans="2:8">
      <c r="B273" s="269" t="s">
        <v>1037</v>
      </c>
      <c r="C273" s="269" t="s">
        <v>1038</v>
      </c>
      <c r="D273" s="270"/>
      <c r="E273" s="271"/>
      <c r="F273" s="271"/>
      <c r="G273" s="271"/>
      <c r="H273" s="272"/>
    </row>
  </sheetData>
  <autoFilter ref="A11:Y237" xr:uid="{00000000-0009-0000-0000-000000000000}"/>
  <hyperlinks>
    <hyperlink ref="B180" r:id="rId1" xr:uid="{00000000-0004-0000-0000-000000000000}"/>
    <hyperlink ref="B135" r:id="rId2" display="bbk-logistik@yandex.ru" xr:uid="{00000000-0004-0000-0000-000001000000}"/>
    <hyperlink ref="B142" r:id="rId3" display="s-vitaly@mail.ru;info@craftenergo.ru" xr:uid="{00000000-0004-0000-0000-000002000000}"/>
    <hyperlink ref="B190" r:id="rId4" xr:uid="{00000000-0004-0000-0000-000003000000}"/>
    <hyperlink ref="B53" r:id="rId5" xr:uid="{00000000-0004-0000-0000-000004000000}"/>
    <hyperlink ref="B54" r:id="rId6" display="mailto:office@kirovtek.kzgroup.ru" xr:uid="{00000000-0004-0000-0000-000005000000}"/>
    <hyperlink ref="B155" r:id="rId7" xr:uid="{00000000-0004-0000-0000-000006000000}"/>
    <hyperlink ref="B44" r:id="rId8" xr:uid="{00000000-0004-0000-0000-000007000000}"/>
    <hyperlink ref="B18" r:id="rId9" xr:uid="{00000000-0004-0000-0000-000008000000}"/>
    <hyperlink ref="B201" r:id="rId10" xr:uid="{00000000-0004-0000-0000-000009000000}"/>
    <hyperlink ref="B202" r:id="rId11" xr:uid="{00000000-0004-0000-0000-00000A000000}"/>
    <hyperlink ref="B36" r:id="rId12" xr:uid="{00000000-0004-0000-0000-00000B000000}"/>
    <hyperlink ref="B133" r:id="rId13" xr:uid="{00000000-0004-0000-0000-00000C000000}"/>
    <hyperlink ref="B211" r:id="rId14" xr:uid="{00000000-0004-0000-0000-00000D000000}"/>
    <hyperlink ref="B159" r:id="rId15" display="ow@kvils.ru" xr:uid="{00000000-0004-0000-0000-00000E000000}"/>
    <hyperlink ref="B170" r:id="rId16" xr:uid="{00000000-0004-0000-0000-00000F000000}"/>
    <hyperlink ref="B213" r:id="rId17" xr:uid="{00000000-0004-0000-0000-000010000000}"/>
    <hyperlink ref="B214" r:id="rId18" xr:uid="{00000000-0004-0000-0000-000011000000}"/>
    <hyperlink ref="B103" r:id="rId19" xr:uid="{00000000-0004-0000-0000-000012000000}"/>
    <hyperlink ref="B25" r:id="rId20" display="kira1607@yahoo.com" xr:uid="{00000000-0004-0000-0000-000013000000}"/>
    <hyperlink ref="B178" r:id="rId21" xr:uid="{00000000-0004-0000-0000-000014000000}"/>
  </hyperlinks>
  <pageMargins left="0.23622047244094491" right="0.23622047244094491" top="0.74803149606299213" bottom="0.74803149606299213" header="0.31496062992125984" footer="0.31496062992125984"/>
  <pageSetup paperSize="9" scale="120" fitToHeight="0"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МАКЕТ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Леоник Михаил Михайлович</dc:creator>
  <cp:lastModifiedBy>sa</cp:lastModifiedBy>
  <dcterms:created xsi:type="dcterms:W3CDTF">2026-07-09T07:06:18Z</dcterms:created>
  <dcterms:modified xsi:type="dcterms:W3CDTF">2026-07-12T18:39:28Z</dcterms:modified>
</cp:coreProperties>
</file>